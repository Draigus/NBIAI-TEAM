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Clients/Couch Heroes/production/"/>
    </mc:Choice>
  </mc:AlternateContent>
  <xr:revisionPtr revIDLastSave="101" documentId="8_{8014CE8A-FD11-4359-A020-0C0F8B72B6C0}" xr6:coauthVersionLast="47" xr6:coauthVersionMax="47" xr10:uidLastSave="{5C938DC2-2CDE-4204-AA42-BBD471A4FAEE}"/>
  <bookViews>
    <workbookView xWindow="51480" yWindow="-120" windowWidth="51840" windowHeight="21120" activeTab="1" xr2:uid="{00000000-000D-0000-FFFF-FFFF00000000}"/>
  </bookViews>
  <sheets>
    <sheet name="Plan" sheetId="1" r:id="rId1"/>
    <sheet name="Sheet1" sheetId="8" r:id="rId2"/>
    <sheet name="Summary" sheetId="2" r:id="rId3"/>
    <sheet name="Epics &amp; Features" sheetId="3" r:id="rId4"/>
    <sheet name="Roles" sheetId="4" r:id="rId5"/>
    <sheet name="Gates" sheetId="5" r:id="rId6"/>
    <sheet name="Tiers" sheetId="6" r:id="rId7"/>
    <sheet name="Legen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M14" i="2"/>
  <c r="L14" i="2"/>
  <c r="K14" i="2"/>
  <c r="J14" i="2"/>
  <c r="I14" i="2"/>
  <c r="H14" i="2"/>
  <c r="G14" i="2"/>
  <c r="F14" i="2"/>
  <c r="E14" i="2"/>
  <c r="D14" i="2"/>
  <c r="C14" i="2"/>
  <c r="N14" i="2" s="1"/>
  <c r="M13" i="2"/>
  <c r="L13" i="2"/>
  <c r="K13" i="2"/>
  <c r="J13" i="2"/>
  <c r="I13" i="2"/>
  <c r="H13" i="2"/>
  <c r="G13" i="2"/>
  <c r="F13" i="2"/>
  <c r="E13" i="2"/>
  <c r="D13" i="2"/>
  <c r="C13" i="2"/>
  <c r="N13" i="2" s="1"/>
  <c r="N12" i="2"/>
  <c r="M12" i="2"/>
  <c r="L12" i="2"/>
  <c r="K12" i="2"/>
  <c r="J12" i="2"/>
  <c r="I12" i="2"/>
  <c r="H12" i="2"/>
  <c r="G12" i="2"/>
  <c r="F12" i="2"/>
  <c r="E12" i="2"/>
  <c r="D12" i="2"/>
  <c r="C12" i="2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N10" i="2" s="1"/>
  <c r="E10" i="2"/>
  <c r="D10" i="2"/>
  <c r="C10" i="2"/>
  <c r="M9" i="2"/>
  <c r="L9" i="2"/>
  <c r="K9" i="2"/>
  <c r="J9" i="2"/>
  <c r="I9" i="2"/>
  <c r="H9" i="2"/>
  <c r="G9" i="2"/>
  <c r="F9" i="2"/>
  <c r="E9" i="2"/>
  <c r="D9" i="2"/>
  <c r="C9" i="2"/>
  <c r="M8" i="2"/>
  <c r="L8" i="2"/>
  <c r="K8" i="2"/>
  <c r="J8" i="2"/>
  <c r="I8" i="2"/>
  <c r="H8" i="2"/>
  <c r="G8" i="2"/>
  <c r="F8" i="2"/>
  <c r="E8" i="2"/>
  <c r="N8" i="2" s="1"/>
  <c r="D8" i="2"/>
  <c r="C8" i="2"/>
  <c r="M7" i="2"/>
  <c r="L7" i="2"/>
  <c r="K7" i="2"/>
  <c r="J7" i="2"/>
  <c r="I7" i="2"/>
  <c r="H7" i="2"/>
  <c r="G7" i="2"/>
  <c r="F7" i="2"/>
  <c r="E7" i="2"/>
  <c r="D7" i="2"/>
  <c r="C7" i="2"/>
  <c r="N7" i="2" s="1"/>
  <c r="M6" i="2"/>
  <c r="L6" i="2"/>
  <c r="K6" i="2"/>
  <c r="J6" i="2"/>
  <c r="I6" i="2"/>
  <c r="H6" i="2"/>
  <c r="G6" i="2"/>
  <c r="F6" i="2"/>
  <c r="E6" i="2"/>
  <c r="D6" i="2"/>
  <c r="C6" i="2"/>
  <c r="M5" i="2"/>
  <c r="L5" i="2"/>
  <c r="K5" i="2"/>
  <c r="J5" i="2"/>
  <c r="I5" i="2"/>
  <c r="H5" i="2"/>
  <c r="G5" i="2"/>
  <c r="F5" i="2"/>
  <c r="E5" i="2"/>
  <c r="D5" i="2"/>
  <c r="C5" i="2"/>
  <c r="N5" i="2" s="1"/>
  <c r="M4" i="2"/>
  <c r="L4" i="2"/>
  <c r="K4" i="2"/>
  <c r="J4" i="2"/>
  <c r="I4" i="2"/>
  <c r="H4" i="2"/>
  <c r="G4" i="2"/>
  <c r="F4" i="2"/>
  <c r="E4" i="2"/>
  <c r="N4" i="2" s="1"/>
  <c r="D4" i="2"/>
  <c r="C4" i="2"/>
  <c r="M3" i="2"/>
  <c r="L3" i="2"/>
  <c r="K3" i="2"/>
  <c r="J3" i="2"/>
  <c r="I3" i="2"/>
  <c r="H3" i="2"/>
  <c r="G3" i="2"/>
  <c r="F3" i="2"/>
  <c r="E3" i="2"/>
  <c r="D3" i="2"/>
  <c r="C3" i="2"/>
  <c r="N3" i="2" s="1"/>
  <c r="M2" i="2"/>
  <c r="M16" i="2" s="1"/>
  <c r="L2" i="2"/>
  <c r="L16" i="2" s="1"/>
  <c r="K2" i="2"/>
  <c r="J2" i="2"/>
  <c r="J16" i="2" s="1"/>
  <c r="I2" i="2"/>
  <c r="I16" i="2" s="1"/>
  <c r="H2" i="2"/>
  <c r="H16" i="2" s="1"/>
  <c r="G2" i="2"/>
  <c r="G16" i="2" s="1"/>
  <c r="F2" i="2"/>
  <c r="F16" i="2" s="1"/>
  <c r="E2" i="2"/>
  <c r="D2" i="2"/>
  <c r="D16" i="2" s="1"/>
  <c r="C2" i="2"/>
  <c r="C16" i="2" s="1"/>
  <c r="PR162" i="1"/>
  <c r="PQ162" i="1"/>
  <c r="PI162" i="1"/>
  <c r="PB162" i="1"/>
  <c r="PA162" i="1"/>
  <c r="OS162" i="1"/>
  <c r="OL162" i="1"/>
  <c r="OK162" i="1"/>
  <c r="OB162" i="1"/>
  <c r="NU162" i="1"/>
  <c r="NT162" i="1"/>
  <c r="NL162" i="1"/>
  <c r="NE162" i="1"/>
  <c r="ND162" i="1"/>
  <c r="MV162" i="1"/>
  <c r="MN162" i="1"/>
  <c r="MM162" i="1"/>
  <c r="ME162" i="1"/>
  <c r="LX162" i="1"/>
  <c r="LW162" i="1"/>
  <c r="LO162" i="1"/>
  <c r="LH162" i="1"/>
  <c r="LG162" i="1"/>
  <c r="KX162" i="1"/>
  <c r="KQ162" i="1"/>
  <c r="KP162" i="1"/>
  <c r="KH162" i="1"/>
  <c r="KA162" i="1"/>
  <c r="JZ162" i="1"/>
  <c r="JQ162" i="1"/>
  <c r="JJ162" i="1"/>
  <c r="JI162" i="1"/>
  <c r="JA162" i="1"/>
  <c r="IT162" i="1"/>
  <c r="IS162" i="1"/>
  <c r="IK162" i="1"/>
  <c r="IC162" i="1"/>
  <c r="IB162" i="1"/>
  <c r="HT162" i="1"/>
  <c r="HM162" i="1"/>
  <c r="HL162" i="1"/>
  <c r="HD162" i="1"/>
  <c r="GW162" i="1"/>
  <c r="GV162" i="1"/>
  <c r="GM162" i="1"/>
  <c r="GF162" i="1"/>
  <c r="GE162" i="1"/>
  <c r="FW162" i="1"/>
  <c r="FP162" i="1"/>
  <c r="FO162" i="1"/>
  <c r="FG162" i="1"/>
  <c r="EY162" i="1"/>
  <c r="EX162" i="1"/>
  <c r="EP162" i="1"/>
  <c r="EI162" i="1"/>
  <c r="EH162" i="1"/>
  <c r="DZ162" i="1"/>
  <c r="CL162" i="1"/>
  <c r="CK162" i="1"/>
  <c r="CB162" i="1"/>
  <c r="BU162" i="1"/>
  <c r="BT162" i="1"/>
  <c r="BL162" i="1"/>
  <c r="BE162" i="1"/>
  <c r="BD162" i="1"/>
  <c r="AV162" i="1"/>
  <c r="AN162" i="1"/>
  <c r="AM162" i="1"/>
  <c r="AE162" i="1"/>
  <c r="X162" i="1"/>
  <c r="W162" i="1"/>
  <c r="O162" i="1"/>
  <c r="H162" i="1"/>
  <c r="G162" i="1"/>
  <c r="PR161" i="1"/>
  <c r="PQ161" i="1"/>
  <c r="PP161" i="1"/>
  <c r="PP162" i="1" s="1"/>
  <c r="PO161" i="1"/>
  <c r="PO162" i="1" s="1"/>
  <c r="PN161" i="1"/>
  <c r="PN162" i="1" s="1"/>
  <c r="PM161" i="1"/>
  <c r="PM162" i="1" s="1"/>
  <c r="PL161" i="1"/>
  <c r="PL162" i="1" s="1"/>
  <c r="PK161" i="1"/>
  <c r="PK162" i="1" s="1"/>
  <c r="PJ161" i="1"/>
  <c r="PJ162" i="1" s="1"/>
  <c r="PI161" i="1"/>
  <c r="PH161" i="1"/>
  <c r="PH162" i="1" s="1"/>
  <c r="PG161" i="1"/>
  <c r="PG162" i="1" s="1"/>
  <c r="PF161" i="1"/>
  <c r="PF162" i="1" s="1"/>
  <c r="PE161" i="1"/>
  <c r="PE162" i="1" s="1"/>
  <c r="PD161" i="1"/>
  <c r="PD162" i="1" s="1"/>
  <c r="PC161" i="1"/>
  <c r="PC162" i="1" s="1"/>
  <c r="PB161" i="1"/>
  <c r="PA161" i="1"/>
  <c r="OZ161" i="1"/>
  <c r="OZ162" i="1" s="1"/>
  <c r="OY161" i="1"/>
  <c r="OY162" i="1" s="1"/>
  <c r="OX161" i="1"/>
  <c r="OX162" i="1" s="1"/>
  <c r="OW161" i="1"/>
  <c r="OW162" i="1" s="1"/>
  <c r="OV161" i="1"/>
  <c r="OV162" i="1" s="1"/>
  <c r="OU161" i="1"/>
  <c r="OU162" i="1" s="1"/>
  <c r="OT161" i="1"/>
  <c r="OT162" i="1" s="1"/>
  <c r="OS161" i="1"/>
  <c r="OR161" i="1"/>
  <c r="OR162" i="1" s="1"/>
  <c r="OQ161" i="1"/>
  <c r="OQ162" i="1" s="1"/>
  <c r="OP161" i="1"/>
  <c r="OP162" i="1" s="1"/>
  <c r="OO161" i="1"/>
  <c r="OO162" i="1" s="1"/>
  <c r="ON161" i="1"/>
  <c r="ON162" i="1" s="1"/>
  <c r="OM161" i="1"/>
  <c r="OM162" i="1" s="1"/>
  <c r="OL161" i="1"/>
  <c r="OK161" i="1"/>
  <c r="OJ161" i="1"/>
  <c r="OJ162" i="1" s="1"/>
  <c r="OI161" i="1"/>
  <c r="OI162" i="1" s="1"/>
  <c r="OH161" i="1"/>
  <c r="OH162" i="1" s="1"/>
  <c r="OG161" i="1"/>
  <c r="OG162" i="1" s="1"/>
  <c r="OE161" i="1"/>
  <c r="OE162" i="1" s="1"/>
  <c r="OD161" i="1"/>
  <c r="OD162" i="1" s="1"/>
  <c r="OC161" i="1"/>
  <c r="OC162" i="1" s="1"/>
  <c r="OB161" i="1"/>
  <c r="OA161" i="1"/>
  <c r="OA162" i="1" s="1"/>
  <c r="NZ161" i="1"/>
  <c r="NZ162" i="1" s="1"/>
  <c r="NY161" i="1"/>
  <c r="NY162" i="1" s="1"/>
  <c r="NX161" i="1"/>
  <c r="NX162" i="1" s="1"/>
  <c r="NW161" i="1"/>
  <c r="NW162" i="1" s="1"/>
  <c r="NV161" i="1"/>
  <c r="NV162" i="1" s="1"/>
  <c r="NU161" i="1"/>
  <c r="NT161" i="1"/>
  <c r="NS161" i="1"/>
  <c r="NS162" i="1" s="1"/>
  <c r="NR161" i="1"/>
  <c r="NR162" i="1" s="1"/>
  <c r="NQ161" i="1"/>
  <c r="NQ162" i="1" s="1"/>
  <c r="NP161" i="1"/>
  <c r="NP162" i="1" s="1"/>
  <c r="NO161" i="1"/>
  <c r="NO162" i="1" s="1"/>
  <c r="NN161" i="1"/>
  <c r="NN162" i="1" s="1"/>
  <c r="NM161" i="1"/>
  <c r="NM162" i="1" s="1"/>
  <c r="NL161" i="1"/>
  <c r="NK161" i="1"/>
  <c r="NK162" i="1" s="1"/>
  <c r="NJ161" i="1"/>
  <c r="NJ162" i="1" s="1"/>
  <c r="NI161" i="1"/>
  <c r="NI162" i="1" s="1"/>
  <c r="NH161" i="1"/>
  <c r="NH162" i="1" s="1"/>
  <c r="NG161" i="1"/>
  <c r="NG162" i="1" s="1"/>
  <c r="NF161" i="1"/>
  <c r="NF162" i="1" s="1"/>
  <c r="NE161" i="1"/>
  <c r="ND161" i="1"/>
  <c r="NC161" i="1"/>
  <c r="NC162" i="1" s="1"/>
  <c r="NB161" i="1"/>
  <c r="NB162" i="1" s="1"/>
  <c r="NA161" i="1"/>
  <c r="NA162" i="1" s="1"/>
  <c r="MZ161" i="1"/>
  <c r="MZ162" i="1" s="1"/>
  <c r="MY161" i="1"/>
  <c r="MY162" i="1" s="1"/>
  <c r="MX161" i="1"/>
  <c r="MX162" i="1" s="1"/>
  <c r="MW161" i="1"/>
  <c r="MW162" i="1" s="1"/>
  <c r="MV161" i="1"/>
  <c r="MU161" i="1"/>
  <c r="MU162" i="1" s="1"/>
  <c r="MT161" i="1"/>
  <c r="MT162" i="1" s="1"/>
  <c r="MR161" i="1"/>
  <c r="MR162" i="1" s="1"/>
  <c r="MQ161" i="1"/>
  <c r="MQ162" i="1" s="1"/>
  <c r="MP161" i="1"/>
  <c r="MP162" i="1" s="1"/>
  <c r="MO161" i="1"/>
  <c r="MO162" i="1" s="1"/>
  <c r="MN161" i="1"/>
  <c r="MM161" i="1"/>
  <c r="ML161" i="1"/>
  <c r="ML162" i="1" s="1"/>
  <c r="MK161" i="1"/>
  <c r="MK162" i="1" s="1"/>
  <c r="MJ161" i="1"/>
  <c r="MJ162" i="1" s="1"/>
  <c r="MI161" i="1"/>
  <c r="MI162" i="1" s="1"/>
  <c r="MH161" i="1"/>
  <c r="MH162" i="1" s="1"/>
  <c r="MG161" i="1"/>
  <c r="MG162" i="1" s="1"/>
  <c r="MF161" i="1"/>
  <c r="MF162" i="1" s="1"/>
  <c r="ME161" i="1"/>
  <c r="MD161" i="1"/>
  <c r="MD162" i="1" s="1"/>
  <c r="MC161" i="1"/>
  <c r="MC162" i="1" s="1"/>
  <c r="MB161" i="1"/>
  <c r="MB162" i="1" s="1"/>
  <c r="MA161" i="1"/>
  <c r="MA162" i="1" s="1"/>
  <c r="LZ161" i="1"/>
  <c r="LZ162" i="1" s="1"/>
  <c r="LY161" i="1"/>
  <c r="LY162" i="1" s="1"/>
  <c r="LX161" i="1"/>
  <c r="LW161" i="1"/>
  <c r="LV161" i="1"/>
  <c r="LV162" i="1" s="1"/>
  <c r="LU161" i="1"/>
  <c r="LU162" i="1" s="1"/>
  <c r="LT161" i="1"/>
  <c r="LT162" i="1" s="1"/>
  <c r="LS161" i="1"/>
  <c r="LS162" i="1" s="1"/>
  <c r="LR161" i="1"/>
  <c r="LR162" i="1" s="1"/>
  <c r="LQ161" i="1"/>
  <c r="LQ162" i="1" s="1"/>
  <c r="LP161" i="1"/>
  <c r="LP162" i="1" s="1"/>
  <c r="LO161" i="1"/>
  <c r="LN161" i="1"/>
  <c r="LN162" i="1" s="1"/>
  <c r="LM161" i="1"/>
  <c r="LM162" i="1" s="1"/>
  <c r="LL161" i="1"/>
  <c r="LL162" i="1" s="1"/>
  <c r="LK161" i="1"/>
  <c r="LK162" i="1" s="1"/>
  <c r="LJ161" i="1"/>
  <c r="LJ162" i="1" s="1"/>
  <c r="LI161" i="1"/>
  <c r="LI162" i="1" s="1"/>
  <c r="LH161" i="1"/>
  <c r="LG161" i="1"/>
  <c r="LE161" i="1"/>
  <c r="LE162" i="1" s="1"/>
  <c r="LD161" i="1"/>
  <c r="LD162" i="1" s="1"/>
  <c r="LC161" i="1"/>
  <c r="LC162" i="1" s="1"/>
  <c r="LB161" i="1"/>
  <c r="LB162" i="1" s="1"/>
  <c r="LA161" i="1"/>
  <c r="LA162" i="1" s="1"/>
  <c r="KZ161" i="1"/>
  <c r="KZ162" i="1" s="1"/>
  <c r="KY161" i="1"/>
  <c r="KY162" i="1" s="1"/>
  <c r="KX161" i="1"/>
  <c r="KW161" i="1"/>
  <c r="KW162" i="1" s="1"/>
  <c r="KV161" i="1"/>
  <c r="KV162" i="1" s="1"/>
  <c r="KU161" i="1"/>
  <c r="KU162" i="1" s="1"/>
  <c r="KT161" i="1"/>
  <c r="KT162" i="1" s="1"/>
  <c r="KS161" i="1"/>
  <c r="KS162" i="1" s="1"/>
  <c r="KR161" i="1"/>
  <c r="KR162" i="1" s="1"/>
  <c r="KQ161" i="1"/>
  <c r="KP161" i="1"/>
  <c r="KO161" i="1"/>
  <c r="KO162" i="1" s="1"/>
  <c r="KN161" i="1"/>
  <c r="KN162" i="1" s="1"/>
  <c r="KM161" i="1"/>
  <c r="KM162" i="1" s="1"/>
  <c r="KL161" i="1"/>
  <c r="KL162" i="1" s="1"/>
  <c r="KK161" i="1"/>
  <c r="KK162" i="1" s="1"/>
  <c r="KJ161" i="1"/>
  <c r="KJ162" i="1" s="1"/>
  <c r="KI161" i="1"/>
  <c r="KI162" i="1" s="1"/>
  <c r="KH161" i="1"/>
  <c r="KG161" i="1"/>
  <c r="KG162" i="1" s="1"/>
  <c r="KF161" i="1"/>
  <c r="KF162" i="1" s="1"/>
  <c r="KE161" i="1"/>
  <c r="KE162" i="1" s="1"/>
  <c r="KD161" i="1"/>
  <c r="KD162" i="1" s="1"/>
  <c r="KC161" i="1"/>
  <c r="KC162" i="1" s="1"/>
  <c r="KB161" i="1"/>
  <c r="KB162" i="1" s="1"/>
  <c r="KA161" i="1"/>
  <c r="JZ161" i="1"/>
  <c r="JY161" i="1"/>
  <c r="JY162" i="1" s="1"/>
  <c r="JX161" i="1"/>
  <c r="JX162" i="1" s="1"/>
  <c r="JW161" i="1"/>
  <c r="JW162" i="1" s="1"/>
  <c r="JV161" i="1"/>
  <c r="JV162" i="1" s="1"/>
  <c r="JU161" i="1"/>
  <c r="JU162" i="1" s="1"/>
  <c r="JT161" i="1"/>
  <c r="JT162" i="1" s="1"/>
  <c r="JR161" i="1"/>
  <c r="JR162" i="1" s="1"/>
  <c r="JQ161" i="1"/>
  <c r="JP161" i="1"/>
  <c r="JP162" i="1" s="1"/>
  <c r="JO161" i="1"/>
  <c r="JO162" i="1" s="1"/>
  <c r="JN161" i="1"/>
  <c r="JN162" i="1" s="1"/>
  <c r="JM161" i="1"/>
  <c r="JM162" i="1" s="1"/>
  <c r="JL161" i="1"/>
  <c r="JL162" i="1" s="1"/>
  <c r="JK161" i="1"/>
  <c r="JK162" i="1" s="1"/>
  <c r="JJ161" i="1"/>
  <c r="JI161" i="1"/>
  <c r="JH161" i="1"/>
  <c r="JH162" i="1" s="1"/>
  <c r="JG161" i="1"/>
  <c r="JG162" i="1" s="1"/>
  <c r="JF161" i="1"/>
  <c r="JF162" i="1" s="1"/>
  <c r="JE161" i="1"/>
  <c r="JE162" i="1" s="1"/>
  <c r="JD161" i="1"/>
  <c r="JD162" i="1" s="1"/>
  <c r="JC161" i="1"/>
  <c r="JC162" i="1" s="1"/>
  <c r="JB161" i="1"/>
  <c r="JB162" i="1" s="1"/>
  <c r="JA161" i="1"/>
  <c r="IZ161" i="1"/>
  <c r="IZ162" i="1" s="1"/>
  <c r="IY161" i="1"/>
  <c r="IY162" i="1" s="1"/>
  <c r="IX161" i="1"/>
  <c r="IX162" i="1" s="1"/>
  <c r="IW161" i="1"/>
  <c r="IW162" i="1" s="1"/>
  <c r="IV161" i="1"/>
  <c r="IV162" i="1" s="1"/>
  <c r="IU161" i="1"/>
  <c r="IU162" i="1" s="1"/>
  <c r="IT161" i="1"/>
  <c r="IS161" i="1"/>
  <c r="IR161" i="1"/>
  <c r="IR162" i="1" s="1"/>
  <c r="IQ161" i="1"/>
  <c r="IQ162" i="1" s="1"/>
  <c r="IP161" i="1"/>
  <c r="IP162" i="1" s="1"/>
  <c r="IO161" i="1"/>
  <c r="IO162" i="1" s="1"/>
  <c r="IN161" i="1"/>
  <c r="IN162" i="1" s="1"/>
  <c r="IM161" i="1"/>
  <c r="IM162" i="1" s="1"/>
  <c r="IL161" i="1"/>
  <c r="IL162" i="1" s="1"/>
  <c r="IK161" i="1"/>
  <c r="IJ161" i="1"/>
  <c r="IJ162" i="1" s="1"/>
  <c r="II161" i="1"/>
  <c r="II162" i="1" s="1"/>
  <c r="IH161" i="1"/>
  <c r="IH162" i="1" s="1"/>
  <c r="IG161" i="1"/>
  <c r="IG162" i="1" s="1"/>
  <c r="IE161" i="1"/>
  <c r="IE162" i="1" s="1"/>
  <c r="ID161" i="1"/>
  <c r="ID162" i="1" s="1"/>
  <c r="IC161" i="1"/>
  <c r="IB161" i="1"/>
  <c r="IA161" i="1"/>
  <c r="IA162" i="1" s="1"/>
  <c r="HZ161" i="1"/>
  <c r="HZ162" i="1" s="1"/>
  <c r="HY161" i="1"/>
  <c r="HY162" i="1" s="1"/>
  <c r="HX161" i="1"/>
  <c r="HX162" i="1" s="1"/>
  <c r="HW161" i="1"/>
  <c r="HW162" i="1" s="1"/>
  <c r="HV161" i="1"/>
  <c r="HV162" i="1" s="1"/>
  <c r="HU161" i="1"/>
  <c r="HU162" i="1" s="1"/>
  <c r="HT161" i="1"/>
  <c r="HS161" i="1"/>
  <c r="HS162" i="1" s="1"/>
  <c r="HR161" i="1"/>
  <c r="HR162" i="1" s="1"/>
  <c r="HQ161" i="1"/>
  <c r="HQ162" i="1" s="1"/>
  <c r="HP161" i="1"/>
  <c r="HP162" i="1" s="1"/>
  <c r="HO161" i="1"/>
  <c r="HO162" i="1" s="1"/>
  <c r="HN161" i="1"/>
  <c r="HN162" i="1" s="1"/>
  <c r="HM161" i="1"/>
  <c r="HL161" i="1"/>
  <c r="HK161" i="1"/>
  <c r="HK162" i="1" s="1"/>
  <c r="HJ161" i="1"/>
  <c r="HJ162" i="1" s="1"/>
  <c r="HI161" i="1"/>
  <c r="HI162" i="1" s="1"/>
  <c r="HH161" i="1"/>
  <c r="HH162" i="1" s="1"/>
  <c r="HG161" i="1"/>
  <c r="HG162" i="1" s="1"/>
  <c r="HF161" i="1"/>
  <c r="HF162" i="1" s="1"/>
  <c r="HE161" i="1"/>
  <c r="HE162" i="1" s="1"/>
  <c r="HD161" i="1"/>
  <c r="HC161" i="1"/>
  <c r="HC162" i="1" s="1"/>
  <c r="HB161" i="1"/>
  <c r="HB162" i="1" s="1"/>
  <c r="HA161" i="1"/>
  <c r="HA162" i="1" s="1"/>
  <c r="GZ161" i="1"/>
  <c r="GZ162" i="1" s="1"/>
  <c r="GY161" i="1"/>
  <c r="GY162" i="1" s="1"/>
  <c r="GX161" i="1"/>
  <c r="GX162" i="1" s="1"/>
  <c r="GW161" i="1"/>
  <c r="GV161" i="1"/>
  <c r="GU161" i="1"/>
  <c r="GU162" i="1" s="1"/>
  <c r="GT161" i="1"/>
  <c r="GT162" i="1" s="1"/>
  <c r="GR161" i="1"/>
  <c r="GR162" i="1" s="1"/>
  <c r="GQ161" i="1"/>
  <c r="GQ162" i="1" s="1"/>
  <c r="GP161" i="1"/>
  <c r="GP162" i="1" s="1"/>
  <c r="GO161" i="1"/>
  <c r="GO162" i="1" s="1"/>
  <c r="GN161" i="1"/>
  <c r="GN162" i="1" s="1"/>
  <c r="GM161" i="1"/>
  <c r="GL161" i="1"/>
  <c r="GL162" i="1" s="1"/>
  <c r="GK161" i="1"/>
  <c r="GK162" i="1" s="1"/>
  <c r="GJ161" i="1"/>
  <c r="GJ162" i="1" s="1"/>
  <c r="GI161" i="1"/>
  <c r="GI162" i="1" s="1"/>
  <c r="GH161" i="1"/>
  <c r="GH162" i="1" s="1"/>
  <c r="GG161" i="1"/>
  <c r="GG162" i="1" s="1"/>
  <c r="GF161" i="1"/>
  <c r="GE161" i="1"/>
  <c r="GD161" i="1"/>
  <c r="GD162" i="1" s="1"/>
  <c r="GC161" i="1"/>
  <c r="GC162" i="1" s="1"/>
  <c r="GB161" i="1"/>
  <c r="GB162" i="1" s="1"/>
  <c r="GA161" i="1"/>
  <c r="GA162" i="1" s="1"/>
  <c r="FZ161" i="1"/>
  <c r="FZ162" i="1" s="1"/>
  <c r="FY161" i="1"/>
  <c r="FY162" i="1" s="1"/>
  <c r="FX161" i="1"/>
  <c r="FX162" i="1" s="1"/>
  <c r="FW161" i="1"/>
  <c r="FV161" i="1"/>
  <c r="FV162" i="1" s="1"/>
  <c r="FU161" i="1"/>
  <c r="FU162" i="1" s="1"/>
  <c r="FT161" i="1"/>
  <c r="FT162" i="1" s="1"/>
  <c r="FS161" i="1"/>
  <c r="FS162" i="1" s="1"/>
  <c r="FR161" i="1"/>
  <c r="FR162" i="1" s="1"/>
  <c r="FQ161" i="1"/>
  <c r="FQ162" i="1" s="1"/>
  <c r="FP161" i="1"/>
  <c r="FO161" i="1"/>
  <c r="FN161" i="1"/>
  <c r="FN162" i="1" s="1"/>
  <c r="FM161" i="1"/>
  <c r="FM162" i="1" s="1"/>
  <c r="FL161" i="1"/>
  <c r="FL162" i="1" s="1"/>
  <c r="FK161" i="1"/>
  <c r="FK162" i="1" s="1"/>
  <c r="FJ161" i="1"/>
  <c r="FJ162" i="1" s="1"/>
  <c r="FI161" i="1"/>
  <c r="FI162" i="1" s="1"/>
  <c r="FH161" i="1"/>
  <c r="FH162" i="1" s="1"/>
  <c r="FG161" i="1"/>
  <c r="FE161" i="1"/>
  <c r="FE162" i="1" s="1"/>
  <c r="FD161" i="1"/>
  <c r="FD162" i="1" s="1"/>
  <c r="FC161" i="1"/>
  <c r="FC162" i="1" s="1"/>
  <c r="FB161" i="1"/>
  <c r="FB162" i="1" s="1"/>
  <c r="FA161" i="1"/>
  <c r="FA162" i="1" s="1"/>
  <c r="EZ161" i="1"/>
  <c r="EZ162" i="1" s="1"/>
  <c r="EY161" i="1"/>
  <c r="EX161" i="1"/>
  <c r="EW161" i="1"/>
  <c r="EW162" i="1" s="1"/>
  <c r="EV161" i="1"/>
  <c r="EV162" i="1" s="1"/>
  <c r="EU161" i="1"/>
  <c r="EU162" i="1" s="1"/>
  <c r="ET161" i="1"/>
  <c r="ET162" i="1" s="1"/>
  <c r="ES161" i="1"/>
  <c r="ES162" i="1" s="1"/>
  <c r="ER161" i="1"/>
  <c r="ER162" i="1" s="1"/>
  <c r="EQ161" i="1"/>
  <c r="EQ162" i="1" s="1"/>
  <c r="EP161" i="1"/>
  <c r="EO161" i="1"/>
  <c r="EO162" i="1" s="1"/>
  <c r="EN161" i="1"/>
  <c r="EN162" i="1" s="1"/>
  <c r="EM161" i="1"/>
  <c r="EM162" i="1" s="1"/>
  <c r="EL161" i="1"/>
  <c r="EL162" i="1" s="1"/>
  <c r="EK161" i="1"/>
  <c r="EK162" i="1" s="1"/>
  <c r="EJ161" i="1"/>
  <c r="EJ162" i="1" s="1"/>
  <c r="EI161" i="1"/>
  <c r="EH161" i="1"/>
  <c r="EG161" i="1"/>
  <c r="EG162" i="1" s="1"/>
  <c r="EF161" i="1"/>
  <c r="EF162" i="1" s="1"/>
  <c r="EE161" i="1"/>
  <c r="EE162" i="1" s="1"/>
  <c r="ED161" i="1"/>
  <c r="ED162" i="1" s="1"/>
  <c r="EC161" i="1"/>
  <c r="EC162" i="1" s="1"/>
  <c r="EB161" i="1"/>
  <c r="EB162" i="1" s="1"/>
  <c r="EA161" i="1"/>
  <c r="EA162" i="1" s="1"/>
  <c r="DZ161" i="1"/>
  <c r="DY161" i="1"/>
  <c r="DY162" i="1" s="1"/>
  <c r="DX161" i="1"/>
  <c r="DX162" i="1" s="1"/>
  <c r="DW161" i="1"/>
  <c r="DW162" i="1" s="1"/>
  <c r="DV161" i="1"/>
  <c r="DV162" i="1" s="1"/>
  <c r="DU161" i="1"/>
  <c r="DU162" i="1" s="1"/>
  <c r="DT161" i="1"/>
  <c r="DT162" i="1" s="1"/>
  <c r="DT164" i="1" s="1"/>
  <c r="DR161" i="1"/>
  <c r="DR162" i="1" s="1"/>
  <c r="DQ161" i="1"/>
  <c r="DQ162" i="1" s="1"/>
  <c r="DP161" i="1"/>
  <c r="DP162" i="1" s="1"/>
  <c r="DO161" i="1"/>
  <c r="DO162" i="1" s="1"/>
  <c r="DN161" i="1"/>
  <c r="DN162" i="1" s="1"/>
  <c r="DM161" i="1"/>
  <c r="DM162" i="1" s="1"/>
  <c r="DL161" i="1"/>
  <c r="DL162" i="1" s="1"/>
  <c r="DK161" i="1"/>
  <c r="DK162" i="1" s="1"/>
  <c r="DJ161" i="1"/>
  <c r="DJ162" i="1" s="1"/>
  <c r="DI161" i="1"/>
  <c r="DI162" i="1" s="1"/>
  <c r="DH161" i="1"/>
  <c r="DH162" i="1" s="1"/>
  <c r="DG161" i="1"/>
  <c r="DG162" i="1" s="1"/>
  <c r="DF161" i="1"/>
  <c r="DF162" i="1" s="1"/>
  <c r="DE161" i="1"/>
  <c r="DE162" i="1" s="1"/>
  <c r="DD161" i="1"/>
  <c r="DD162" i="1" s="1"/>
  <c r="DC161" i="1"/>
  <c r="DC162" i="1" s="1"/>
  <c r="DB161" i="1"/>
  <c r="DB162" i="1" s="1"/>
  <c r="DA161" i="1"/>
  <c r="DA162" i="1" s="1"/>
  <c r="CZ161" i="1"/>
  <c r="CZ162" i="1" s="1"/>
  <c r="CY161" i="1"/>
  <c r="CY162" i="1" s="1"/>
  <c r="CX161" i="1"/>
  <c r="CX162" i="1" s="1"/>
  <c r="CW161" i="1"/>
  <c r="CW162" i="1" s="1"/>
  <c r="CV161" i="1"/>
  <c r="CV162" i="1" s="1"/>
  <c r="CU161" i="1"/>
  <c r="CU162" i="1" s="1"/>
  <c r="CT161" i="1"/>
  <c r="CT162" i="1" s="1"/>
  <c r="CS161" i="1"/>
  <c r="CS162" i="1" s="1"/>
  <c r="CR161" i="1"/>
  <c r="CR162" i="1" s="1"/>
  <c r="CQ161" i="1"/>
  <c r="CQ162" i="1" s="1"/>
  <c r="CP161" i="1"/>
  <c r="CP162" i="1" s="1"/>
  <c r="CO161" i="1"/>
  <c r="CO162" i="1" s="1"/>
  <c r="CN161" i="1"/>
  <c r="CN162" i="1" s="1"/>
  <c r="CM161" i="1"/>
  <c r="CM162" i="1" s="1"/>
  <c r="CL161" i="1"/>
  <c r="CK161" i="1"/>
  <c r="CJ161" i="1"/>
  <c r="CJ162" i="1" s="1"/>
  <c r="CI161" i="1"/>
  <c r="CI162" i="1" s="1"/>
  <c r="CH161" i="1"/>
  <c r="CH162" i="1" s="1"/>
  <c r="CG161" i="1"/>
  <c r="CG162" i="1" s="1"/>
  <c r="CE161" i="1"/>
  <c r="CE162" i="1" s="1"/>
  <c r="CD161" i="1"/>
  <c r="CD162" i="1" s="1"/>
  <c r="CC161" i="1"/>
  <c r="CC162" i="1" s="1"/>
  <c r="CB161" i="1"/>
  <c r="CA161" i="1"/>
  <c r="CA162" i="1" s="1"/>
  <c r="BZ161" i="1"/>
  <c r="BZ162" i="1" s="1"/>
  <c r="BY161" i="1"/>
  <c r="BY162" i="1" s="1"/>
  <c r="BX161" i="1"/>
  <c r="BX162" i="1" s="1"/>
  <c r="BW161" i="1"/>
  <c r="BW162" i="1" s="1"/>
  <c r="BV161" i="1"/>
  <c r="BV162" i="1" s="1"/>
  <c r="BU161" i="1"/>
  <c r="BT161" i="1"/>
  <c r="BS161" i="1"/>
  <c r="BS162" i="1" s="1"/>
  <c r="BR161" i="1"/>
  <c r="BR162" i="1" s="1"/>
  <c r="BQ161" i="1"/>
  <c r="BQ162" i="1" s="1"/>
  <c r="BP161" i="1"/>
  <c r="BP162" i="1" s="1"/>
  <c r="BO161" i="1"/>
  <c r="BO162" i="1" s="1"/>
  <c r="BN161" i="1"/>
  <c r="BN162" i="1" s="1"/>
  <c r="BM161" i="1"/>
  <c r="BM162" i="1" s="1"/>
  <c r="BL161" i="1"/>
  <c r="BK161" i="1"/>
  <c r="BK162" i="1" s="1"/>
  <c r="BJ161" i="1"/>
  <c r="BJ162" i="1" s="1"/>
  <c r="BI161" i="1"/>
  <c r="BI162" i="1" s="1"/>
  <c r="BH161" i="1"/>
  <c r="BH162" i="1" s="1"/>
  <c r="BG161" i="1"/>
  <c r="BG162" i="1" s="1"/>
  <c r="BF161" i="1"/>
  <c r="BF162" i="1" s="1"/>
  <c r="BE161" i="1"/>
  <c r="BD161" i="1"/>
  <c r="BC161" i="1"/>
  <c r="BC162" i="1" s="1"/>
  <c r="BB161" i="1"/>
  <c r="BB162" i="1" s="1"/>
  <c r="BA161" i="1"/>
  <c r="BA162" i="1" s="1"/>
  <c r="AZ161" i="1"/>
  <c r="AZ162" i="1" s="1"/>
  <c r="AY161" i="1"/>
  <c r="AY162" i="1" s="1"/>
  <c r="AX161" i="1"/>
  <c r="AX162" i="1" s="1"/>
  <c r="AW161" i="1"/>
  <c r="AW162" i="1" s="1"/>
  <c r="AV161" i="1"/>
  <c r="AU161" i="1"/>
  <c r="AU162" i="1" s="1"/>
  <c r="AT161" i="1"/>
  <c r="AT162" i="1" s="1"/>
  <c r="AR161" i="1"/>
  <c r="AR162" i="1" s="1"/>
  <c r="AQ161" i="1"/>
  <c r="AQ162" i="1" s="1"/>
  <c r="AP161" i="1"/>
  <c r="AP162" i="1" s="1"/>
  <c r="AO161" i="1"/>
  <c r="AO162" i="1" s="1"/>
  <c r="AN161" i="1"/>
  <c r="AM161" i="1"/>
  <c r="AL161" i="1"/>
  <c r="AL162" i="1" s="1"/>
  <c r="AK161" i="1"/>
  <c r="AK162" i="1" s="1"/>
  <c r="AJ161" i="1"/>
  <c r="AJ162" i="1" s="1"/>
  <c r="AI161" i="1"/>
  <c r="AI162" i="1" s="1"/>
  <c r="AH161" i="1"/>
  <c r="AH162" i="1" s="1"/>
  <c r="AG161" i="1"/>
  <c r="AG162" i="1" s="1"/>
  <c r="AF161" i="1"/>
  <c r="AF162" i="1" s="1"/>
  <c r="AE161" i="1"/>
  <c r="AD161" i="1"/>
  <c r="AD162" i="1" s="1"/>
  <c r="AC161" i="1"/>
  <c r="AC162" i="1" s="1"/>
  <c r="AB161" i="1"/>
  <c r="AB162" i="1" s="1"/>
  <c r="AA161" i="1"/>
  <c r="AA162" i="1" s="1"/>
  <c r="Z161" i="1"/>
  <c r="Z162" i="1" s="1"/>
  <c r="Y161" i="1"/>
  <c r="Y162" i="1" s="1"/>
  <c r="X161" i="1"/>
  <c r="W161" i="1"/>
  <c r="V161" i="1"/>
  <c r="V162" i="1" s="1"/>
  <c r="U161" i="1"/>
  <c r="U162" i="1" s="1"/>
  <c r="T161" i="1"/>
  <c r="T162" i="1" s="1"/>
  <c r="S161" i="1"/>
  <c r="S162" i="1" s="1"/>
  <c r="R161" i="1"/>
  <c r="R162" i="1" s="1"/>
  <c r="Q161" i="1"/>
  <c r="Q162" i="1" s="1"/>
  <c r="P161" i="1"/>
  <c r="P162" i="1" s="1"/>
  <c r="O161" i="1"/>
  <c r="N161" i="1"/>
  <c r="N162" i="1" s="1"/>
  <c r="M161" i="1"/>
  <c r="M162" i="1" s="1"/>
  <c r="L161" i="1"/>
  <c r="L162" i="1" s="1"/>
  <c r="K161" i="1"/>
  <c r="K162" i="1" s="1"/>
  <c r="J161" i="1"/>
  <c r="J162" i="1" s="1"/>
  <c r="I161" i="1"/>
  <c r="I162" i="1" s="1"/>
  <c r="H161" i="1"/>
  <c r="G161" i="1"/>
  <c r="N11" i="2" l="1"/>
  <c r="N9" i="2"/>
  <c r="N6" i="2"/>
  <c r="E16" i="2"/>
  <c r="AT164" i="1"/>
  <c r="MT164" i="1"/>
  <c r="IG164" i="1"/>
  <c r="JT164" i="1"/>
  <c r="CG164" i="1"/>
  <c r="OG164" i="1"/>
  <c r="G164" i="1"/>
  <c r="LG164" i="1"/>
  <c r="FG164" i="1"/>
  <c r="GT164" i="1"/>
  <c r="N2" i="2"/>
  <c r="N16" i="2" l="1"/>
</calcChain>
</file>

<file path=xl/sharedStrings.xml><?xml version="1.0" encoding="utf-8"?>
<sst xmlns="http://schemas.openxmlformats.org/spreadsheetml/2006/main" count="2232" uniqueCount="365">
  <si>
    <t>WORK STREAMS</t>
  </si>
  <si>
    <t>CONCEPT</t>
  </si>
  <si>
    <t>PRE-PRODUCTION</t>
  </si>
  <si>
    <t>PRODUCTION</t>
  </si>
  <si>
    <t>RELEASE</t>
  </si>
  <si>
    <t>LIVE SERVICE</t>
  </si>
  <si>
    <t>GATE
0</t>
  </si>
  <si>
    <t>CONCEPT
~2 months
Target: T0 Ideation</t>
  </si>
  <si>
    <t>GATE
1</t>
  </si>
  <si>
    <t>GATE
2</t>
  </si>
  <si>
    <t>GATE
3</t>
  </si>
  <si>
    <t>GATE
4</t>
  </si>
  <si>
    <t>GATE
5</t>
  </si>
  <si>
    <t>GATE
6</t>
  </si>
  <si>
    <t>GATE
7</t>
  </si>
  <si>
    <t>GATE
8</t>
  </si>
  <si>
    <t>FIRST RELEASE
~1.5 months
Target: T6-T7 Player Ready / Expand</t>
  </si>
  <si>
    <t>GATE
9</t>
  </si>
  <si>
    <t>LS 1
Live
Target: T7 Expand</t>
  </si>
  <si>
    <t>GATE
10</t>
  </si>
  <si>
    <t>LS 2
Live
Target: T8 Scale</t>
  </si>
  <si>
    <t>Epic</t>
  </si>
  <si>
    <t>Feature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</si>
  <si>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</si>
  <si>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</si>
  <si>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</si>
  <si>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</si>
  <si>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</si>
  <si>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</si>
  <si>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</si>
  <si>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</si>
  <si>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</si>
  <si>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</si>
  <si>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</si>
  <si>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</si>
  <si>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</si>
  <si>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</si>
  <si>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</si>
  <si>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</si>
  <si>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</si>
  <si>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</si>
  <si>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</si>
  <si>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</si>
  <si>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</si>
  <si>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</si>
  <si>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</si>
  <si>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</si>
  <si>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</si>
  <si>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</si>
  <si>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</si>
  <si>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</si>
  <si>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</si>
  <si>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</si>
  <si>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</si>
  <si>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</si>
  <si>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</si>
  <si>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</si>
  <si>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</si>
  <si>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</si>
  <si>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</si>
  <si>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</si>
  <si>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</si>
  <si>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</si>
  <si>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</si>
  <si>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</si>
  <si>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Player Progression</t>
  </si>
  <si>
    <t>L</t>
  </si>
  <si>
    <t>T1: R&amp;D</t>
  </si>
  <si>
    <t>Skill System</t>
  </si>
  <si>
    <t>Achievements &amp; Trophies</t>
  </si>
  <si>
    <t>M</t>
  </si>
  <si>
    <t>Factions / Reputation</t>
  </si>
  <si>
    <t>FTUE</t>
  </si>
  <si>
    <t>T2: GDD/TDD/Brief</t>
  </si>
  <si>
    <t>Professions</t>
  </si>
  <si>
    <t>Character Management</t>
  </si>
  <si>
    <t>T0: Ideation</t>
  </si>
  <si>
    <t>Character Creation &amp; Customization</t>
  </si>
  <si>
    <t>Garment System</t>
  </si>
  <si>
    <t>Persona System</t>
  </si>
  <si>
    <t>Emote System</t>
  </si>
  <si>
    <t>S</t>
  </si>
  <si>
    <t>World Systems</t>
  </si>
  <si>
    <t>Foam Corruption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</si>
  <si>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</si>
  <si>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</si>
  <si>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</si>
  <si>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</si>
  <si>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</si>
  <si>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</si>
  <si>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</si>
  <si>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</si>
  <si>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</si>
  <si>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Advanced Traversal</t>
  </si>
  <si>
    <t>Navigation</t>
  </si>
  <si>
    <t>Day/Night Cycle</t>
  </si>
  <si>
    <t>Dynamic Weather</t>
  </si>
  <si>
    <t>Instancing</t>
  </si>
  <si>
    <t>Dungeon Mechanics</t>
  </si>
  <si>
    <t>The Dungeon</t>
  </si>
  <si>
    <t>Partner Portal</t>
  </si>
  <si>
    <t>World Bosses</t>
  </si>
  <si>
    <t>Corruption Heatmap</t>
  </si>
  <si>
    <t>Biome - Portal Peak</t>
  </si>
  <si>
    <t>T4: MVP</t>
  </si>
  <si>
    <t>Biome - Hidden Hills</t>
  </si>
  <si>
    <t>Biome - Farmlands</t>
  </si>
  <si>
    <t>Biome - Mistrun Shore</t>
  </si>
  <si>
    <t>Biome - Whispering Woods</t>
  </si>
  <si>
    <t>Biome - Tranquil Sands</t>
  </si>
  <si>
    <t>Biome - Torrential Vale</t>
  </si>
  <si>
    <t>Biome - Clockwork</t>
  </si>
  <si>
    <t>Biome - Downtime</t>
  </si>
  <si>
    <t>Combat</t>
  </si>
  <si>
    <t>Combat Framework</t>
  </si>
  <si>
    <t>Ranged Combat</t>
  </si>
  <si>
    <t>Combat AI Behavior</t>
  </si>
  <si>
    <t>Enemies Art</t>
  </si>
  <si>
    <t>PvP Combat</t>
  </si>
  <si>
    <t>Combat Balance &amp; Telemetry</t>
  </si>
  <si>
    <t>Combat Abilities</t>
  </si>
  <si>
    <t>Magic</t>
  </si>
  <si>
    <t>Full Motion Video (FMV)</t>
  </si>
  <si>
    <t>User Space</t>
  </si>
  <si>
    <t>User Space Server &amp; Instance</t>
  </si>
  <si>
    <t>User Space Decoration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</si>
  <si>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</si>
  <si>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</si>
  <si>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</si>
  <si>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</si>
  <si>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</si>
  <si>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</si>
  <si>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Items &amp; Inventory</t>
  </si>
  <si>
    <t>Item Core System</t>
  </si>
  <si>
    <t>Inventory System</t>
  </si>
  <si>
    <t>Equipment System</t>
  </si>
  <si>
    <t>Loot Distribution</t>
  </si>
  <si>
    <t>Mounts / Pets</t>
  </si>
  <si>
    <t>Banks</t>
  </si>
  <si>
    <t>P2P Item Transfer</t>
  </si>
  <si>
    <t>Consumables</t>
  </si>
  <si>
    <t>Durable Items</t>
  </si>
  <si>
    <t>Player Economy</t>
  </si>
  <si>
    <t>Trading System</t>
  </si>
  <si>
    <t>Currency System</t>
  </si>
  <si>
    <t>Auction House</t>
  </si>
  <si>
    <t>In-game Store</t>
  </si>
  <si>
    <t>In-game Economy</t>
  </si>
  <si>
    <t>RMT Game Economy</t>
  </si>
  <si>
    <t>IG / RMT Monitoring System</t>
  </si>
  <si>
    <t>Quest System</t>
  </si>
  <si>
    <t>Quests Backend / Tooling</t>
  </si>
  <si>
    <t>Quests as Events</t>
  </si>
  <si>
    <t>Quest Multiplayer</t>
  </si>
  <si>
    <t>Quest Types - Courier / Escort / Kill / Collect / Mystery / Time / Partner / Lockpicking</t>
  </si>
  <si>
    <t>Quest Reward System</t>
  </si>
  <si>
    <t>Quest Log</t>
  </si>
  <si>
    <t>Quest Dialog GUI</t>
  </si>
  <si>
    <t>Quest Narrative Content</t>
  </si>
  <si>
    <t>In Game Cinematic (IGC)</t>
  </si>
  <si>
    <t>Meta Quest System</t>
  </si>
  <si>
    <t>Quest Generator System</t>
  </si>
  <si>
    <t>Targeted VO</t>
  </si>
  <si>
    <t>Social &amp; Multiplayer</t>
  </si>
  <si>
    <t>Game Chat System</t>
  </si>
  <si>
    <t>Friends</t>
  </si>
  <si>
    <t>Guilds</t>
  </si>
  <si>
    <t>Co-op / Party</t>
  </si>
  <si>
    <t>Co-op / Raids</t>
  </si>
  <si>
    <t>Dueling</t>
  </si>
  <si>
    <t>In-game Mail</t>
  </si>
  <si>
    <t>Notifications</t>
  </si>
  <si>
    <t>Player Config PvP Server</t>
  </si>
  <si>
    <t>LFG / Pick-up Groups</t>
  </si>
  <si>
    <t>Game Bibles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</si>
  <si>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</si>
  <si>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</si>
  <si>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</si>
  <si>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</si>
  <si>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</si>
  <si>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</si>
  <si>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</si>
  <si>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Platform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</si>
  <si>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</si>
  <si>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</si>
  <si>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</si>
  <si>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</si>
  <si>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</si>
  <si>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</si>
  <si>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</si>
  <si>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</si>
  <si>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</si>
  <si>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</si>
  <si>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</si>
  <si>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</si>
  <si>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</si>
  <si>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</si>
  <si>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Launcher &amp; Distribution</t>
  </si>
  <si>
    <t>Partner Loop</t>
  </si>
  <si>
    <t>Game Tool Integration (incl. Game Key Generation)</t>
  </si>
  <si>
    <t>Account Level Settings</t>
  </si>
  <si>
    <t>Social Media Support</t>
  </si>
  <si>
    <t>Live Game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</si>
  <si>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</si>
  <si>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</si>
  <si>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</si>
  <si>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</si>
  <si>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</si>
  <si>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</si>
  <si>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</si>
  <si>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Build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</si>
  <si>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</si>
  <si>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</si>
  <si>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</si>
  <si>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</si>
  <si>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</si>
  <si>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</si>
  <si>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</si>
  <si>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Product Publishing</t>
  </si>
  <si>
    <t>Web Presence</t>
  </si>
  <si>
    <t>Website</t>
  </si>
  <si>
    <t>Community Persona</t>
  </si>
  <si>
    <t>Title Identity</t>
  </si>
  <si>
    <t>Player Support</t>
  </si>
  <si>
    <t>Go-To-Market Strategy &amp; Implementation</t>
  </si>
  <si>
    <t>3rd-party Store Publishing</t>
  </si>
  <si>
    <t>Total PW (man-days)</t>
  </si>
  <si>
    <t>Headcount @ 20 wd/mo (per gate duration)</t>
  </si>
  <si>
    <t>Total Headcount per Gate (sum)</t>
  </si>
  <si>
    <t>TIER LEGEND  (matches the Miro 'Tiers of Completion' cards)</t>
  </si>
  <si>
    <t>T0</t>
  </si>
  <si>
    <t>Ideation</t>
  </si>
  <si>
    <t>Idea captured, no commitment yet</t>
  </si>
  <si>
    <t>T1</t>
  </si>
  <si>
    <t>R&amp;D</t>
  </si>
  <si>
    <t>Research, prototyping intent, technical feasibility</t>
  </si>
  <si>
    <t>T2</t>
  </si>
  <si>
    <t>GDD/TDD/Brief</t>
  </si>
  <si>
    <t>GDD done, TDD done, art brief done</t>
  </si>
  <si>
    <t>T3</t>
  </si>
  <si>
    <t>Prototype</t>
  </si>
  <si>
    <t>Functional with no skins, can be bugged</t>
  </si>
  <si>
    <t>T4</t>
  </si>
  <si>
    <t>MVP</t>
  </si>
  <si>
    <t>Limited quality, but full-featured</t>
  </si>
  <si>
    <t>T5</t>
  </si>
  <si>
    <t>Feature Complete</t>
  </si>
  <si>
    <t>Final assets, polished, no scope cuts left</t>
  </si>
  <si>
    <t>T6</t>
  </si>
  <si>
    <t>Player Tested</t>
  </si>
  <si>
    <t>Playtest, alpha, beta, telemetry feedback applied</t>
  </si>
  <si>
    <t>T7</t>
  </si>
  <si>
    <t>Expand</t>
  </si>
  <si>
    <t>Add to feature / content</t>
  </si>
  <si>
    <t>T8</t>
  </si>
  <si>
    <t>Scale</t>
  </si>
  <si>
    <t>Productional optimization post-load</t>
  </si>
  <si>
    <t>Features</t>
  </si>
  <si>
    <t>Concept
~2 months
T0</t>
  </si>
  <si>
    <t>Pre-production
~4 months
T1-T2</t>
  </si>
  <si>
    <t>Early Prod
~4 months
T3</t>
  </si>
  <si>
    <t>Mid Prod
~6 months
T4</t>
  </si>
  <si>
    <t>End Prod
~4 months
T5</t>
  </si>
  <si>
    <t>Alpha
~2 months
T6</t>
  </si>
  <si>
    <t>Beta
~1.5 months
T6</t>
  </si>
  <si>
    <t>Launch
~1 month
T6</t>
  </si>
  <si>
    <t>First Release
~1.5 months
T6-T7</t>
  </si>
  <si>
    <t>LS 1
Live
T7</t>
  </si>
  <si>
    <t>LS 2
Live
T8</t>
  </si>
  <si>
    <t>Total PW</t>
  </si>
  <si>
    <t>GRAND TOTAL</t>
  </si>
  <si>
    <t>Sizing</t>
  </si>
  <si>
    <t>Role</t>
  </si>
  <si>
    <t>Discipline</t>
  </si>
  <si>
    <t>Leadership</t>
  </si>
  <si>
    <t>Production</t>
  </si>
  <si>
    <t>Design</t>
  </si>
  <si>
    <t>Art</t>
  </si>
  <si>
    <t>Engineering</t>
  </si>
  <si>
    <t>Audio</t>
  </si>
  <si>
    <t>Gate</t>
  </si>
  <si>
    <t>Phase</t>
  </si>
  <si>
    <t>Target Tier</t>
  </si>
  <si>
    <t>Tier Name</t>
  </si>
  <si>
    <t>Concept</t>
  </si>
  <si>
    <t>Y-doc, pitch, vision lock; all features captured at T0</t>
  </si>
  <si>
    <t>Pre-production</t>
  </si>
  <si>
    <t>T1-T2</t>
  </si>
  <si>
    <t>R&amp;D / GDD-TDD-Brief</t>
  </si>
  <si>
    <t>GDD/TDD/Art briefs for all greenlit features (T2)</t>
  </si>
  <si>
    <t>Early Prod</t>
  </si>
  <si>
    <t>Prototype every feature; many bugs allowed (T3)</t>
  </si>
  <si>
    <t>Mid Prod</t>
  </si>
  <si>
    <t>Full MVP scope - heaviest production gate (T4)</t>
  </si>
  <si>
    <t>End Prod</t>
  </si>
  <si>
    <t>Feature complete, polish to ship quality (T5)</t>
  </si>
  <si>
    <t>Alpha</t>
  </si>
  <si>
    <t>Playtest, telemetry, balance pass; gating bugs only</t>
  </si>
  <si>
    <t>Beta</t>
  </si>
  <si>
    <t>External player feedback, cert prep, content lock</t>
  </si>
  <si>
    <t>Launch</t>
  </si>
  <si>
    <t>Player Ready</t>
  </si>
  <si>
    <t>Day-0 readiness, marketing, store, support</t>
  </si>
  <si>
    <t>First Release</t>
  </si>
  <si>
    <t>T6-T7</t>
  </si>
  <si>
    <t>Player Ready / Expand</t>
  </si>
  <si>
    <t>Live monitoring, hotfixes, day-1/7/30 patches</t>
  </si>
  <si>
    <t>LS 1</t>
  </si>
  <si>
    <t>Expansions, new content drops, season cadence (T7)</t>
  </si>
  <si>
    <t>LS 2</t>
  </si>
  <si>
    <t>Optimize / scale post-load, sustain plan (T8)</t>
  </si>
  <si>
    <t>Tier</t>
  </si>
  <si>
    <t>Name</t>
  </si>
  <si>
    <t>Definition</t>
  </si>
  <si>
    <t>Idea captured, no commitment</t>
  </si>
  <si>
    <t>GDD / TDD / Brief ready</t>
  </si>
  <si>
    <t>Feature Complete (at quality)</t>
  </si>
  <si>
    <t>Player Ready / Tested</t>
  </si>
  <si>
    <t>Cell Color / Section</t>
  </si>
  <si>
    <t>Meaning</t>
  </si>
  <si>
    <t>Phase super-headers (row 1 of Plan)</t>
  </si>
  <si>
    <t>Concept gate (T0 Ideation)</t>
  </si>
  <si>
    <t>Pre-production gate (T1-T2)</t>
  </si>
  <si>
    <t>Early / Mid / End Prod gates (T3-T5)</t>
  </si>
  <si>
    <t>Release</t>
  </si>
  <si>
    <t>Alpha / Beta / Launch / First Release</t>
  </si>
  <si>
    <t>Live Service</t>
  </si>
  <si>
    <t>LS 1 / LS 2</t>
  </si>
  <si>
    <t>Role group color (row 3 of Plan)</t>
  </si>
  <si>
    <t>CEO, Head of Legal, Head of Finance &amp; Ops, HR Manager</t>
  </si>
  <si>
    <t>Executive / Producer / Game / Tech / Art Producer</t>
  </si>
  <si>
    <t>Game Director, Design Leads, Designers, Writer</t>
  </si>
  <si>
    <t>Art Director, Concept, UI/UX, Character/Env/Prop, Anim, Rig, VFX, TA</t>
  </si>
  <si>
    <t>CTO, Tech Lead, Gameplay/Full Stack/Backend/Network</t>
  </si>
  <si>
    <t>Sizing key (col C)</t>
  </si>
  <si>
    <t>Small feature</t>
  </si>
  <si>
    <t>Medium feature</t>
  </si>
  <si>
    <t>Large feature</t>
  </si>
  <si>
    <t>How to use</t>
  </si>
  <si>
    <t>Plan sheet</t>
  </si>
  <si>
    <t>Fill in man-days per (feature, gate, role). Cells are blank by default.</t>
  </si>
  <si>
    <t>Totals row</t>
  </si>
  <si>
    <t>Bottom of Plan: SUMs each role column per gate.</t>
  </si>
  <si>
    <t>Headcount row</t>
  </si>
  <si>
    <t>Total PW / (gate months * 20 working days). Edit GATE_MONTHS in the script if your durations change.</t>
  </si>
  <si>
    <t>Summary sheet</t>
  </si>
  <si>
    <t>Auto-rolls up Plan totals per epic per gate.</t>
  </si>
  <si>
    <t>Adding rows</t>
  </si>
  <si>
    <t>Insert rows inside an epic block on Plan. Update Total PW SUM ranges if you extend past the current last data row.</t>
  </si>
  <si>
    <t>EARLY PROD
Target: T3 Prototype</t>
  </si>
  <si>
    <t>PRE-PRODUCTION
Target: T1-T2 R&amp;D / GDD-TDD-Brief</t>
  </si>
  <si>
    <t>MID PRO
Target: T4 MVP</t>
  </si>
  <si>
    <t>END PROD
Target: T5 Feature Complete</t>
  </si>
  <si>
    <t>ALPHA
Target: T6 Player Tested</t>
  </si>
  <si>
    <t>BETA
Target: T6 Player Tested</t>
  </si>
  <si>
    <t>LAUNCH
Target: T6 Player Ready</t>
  </si>
  <si>
    <t>This is the feature name</t>
  </si>
  <si>
    <t>Story</t>
  </si>
  <si>
    <t>This is the epic</t>
  </si>
  <si>
    <t>Team</t>
  </si>
  <si>
    <t>Min</t>
  </si>
  <si>
    <t>Max</t>
  </si>
  <si>
    <t>This is the story name</t>
  </si>
  <si>
    <t>This is the role</t>
  </si>
  <si>
    <t>This is the department | This is the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</si>
</sst>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;\-0.##;\-"/>
    <numFmt numFmtId="165" formatCode="0.0;\-0.0;\-"/>
  </numFmts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0"/>
      <name val="Calibri"/>
    </font>
    <font>
      <b/>
      <sz val="9"/>
      <name val="Calibri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AB8"/>
      </patternFill>
    </fill>
    <fill>
      <patternFill patternType="solid">
        <fgColor rgb="FFFCB97D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6FA8DC"/>
      </patternFill>
    </fill>
    <fill>
      <patternFill patternType="solid">
        <fgColor rgb="FF1F4E79"/>
      </patternFill>
    </fill>
    <fill>
      <patternFill patternType="solid">
        <fgColor rgb="FFB6D7A8"/>
      </patternFill>
    </fill>
    <fill>
      <patternFill patternType="solid">
        <fgColor rgb="FF6AA84F"/>
      </patternFill>
    </fill>
    <fill>
      <patternFill patternType="solid">
        <fgColor rgb="FF38761D"/>
      </patternFill>
    </fill>
    <fill>
      <patternFill patternType="solid">
        <fgColor rgb="FFBF8F00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E4DFEC"/>
      </patternFill>
    </fill>
    <fill>
      <patternFill patternType="solid">
        <fgColor rgb="FFFFE699"/>
      </patternFill>
    </fill>
    <fill>
      <patternFill patternType="solid">
        <fgColor rgb="FFB4C7E7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999999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0" fillId="25" borderId="0" xfId="0" applyFill="1"/>
    <xf numFmtId="0" fontId="9" fillId="25" borderId="1" xfId="0" applyFont="1" applyFill="1" applyBorder="1" applyAlignment="1">
      <alignment horizontal="left" vertical="center" wrapText="1"/>
    </xf>
    <xf numFmtId="164" fontId="10" fillId="25" borderId="2" xfId="0" applyNumberFormat="1" applyFont="1" applyFill="1" applyBorder="1" applyAlignment="1">
      <alignment horizontal="center" vertical="center" wrapText="1"/>
    </xf>
    <xf numFmtId="0" fontId="0" fillId="26" borderId="0" xfId="0" applyFill="1"/>
    <xf numFmtId="0" fontId="9" fillId="26" borderId="1" xfId="0" applyFont="1" applyFill="1" applyBorder="1" applyAlignment="1">
      <alignment horizontal="left" vertical="center" wrapText="1"/>
    </xf>
    <xf numFmtId="165" fontId="10" fillId="26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9" fillId="2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left" vertical="center" wrapText="1"/>
    </xf>
    <xf numFmtId="0" fontId="3" fillId="30" borderId="2" xfId="0" applyFont="1" applyFill="1" applyBorder="1" applyAlignment="1">
      <alignment horizontal="center" vertical="center" wrapText="1"/>
    </xf>
    <xf numFmtId="0" fontId="3" fillId="30" borderId="2" xfId="0" applyFont="1" applyFill="1" applyBorder="1" applyAlignment="1">
      <alignment horizontal="left" vertical="center" wrapText="1"/>
    </xf>
    <xf numFmtId="0" fontId="3" fillId="31" borderId="2" xfId="0" applyFont="1" applyFill="1" applyBorder="1" applyAlignment="1">
      <alignment horizontal="center" vertical="center" wrapText="1"/>
    </xf>
    <xf numFmtId="0" fontId="3" fillId="31" borderId="2" xfId="0" applyFont="1" applyFill="1" applyBorder="1" applyAlignment="1">
      <alignment horizontal="left" vertical="center" wrapText="1"/>
    </xf>
    <xf numFmtId="0" fontId="3" fillId="32" borderId="2" xfId="0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top" textRotation="90"/>
    </xf>
    <xf numFmtId="0" fontId="6" fillId="19" borderId="2" xfId="0" applyFont="1" applyFill="1" applyBorder="1" applyAlignment="1">
      <alignment horizontal="left" vertical="top" textRotation="90"/>
    </xf>
    <xf numFmtId="0" fontId="6" fillId="6" borderId="2" xfId="0" applyFont="1" applyFill="1" applyBorder="1" applyAlignment="1">
      <alignment horizontal="left" vertical="top" textRotation="90"/>
    </xf>
    <xf numFmtId="0" fontId="6" fillId="20" borderId="2" xfId="0" applyFont="1" applyFill="1" applyBorder="1" applyAlignment="1">
      <alignment horizontal="left" vertical="top" textRotation="90"/>
    </xf>
    <xf numFmtId="0" fontId="6" fillId="21" borderId="2" xfId="0" applyFont="1" applyFill="1" applyBorder="1" applyAlignment="1">
      <alignment horizontal="left" vertical="top" textRotation="90"/>
    </xf>
    <xf numFmtId="0" fontId="6" fillId="22" borderId="2" xfId="0" applyFont="1" applyFill="1" applyBorder="1" applyAlignment="1">
      <alignment horizontal="left" vertical="top" textRotation="90"/>
    </xf>
    <xf numFmtId="0" fontId="6" fillId="23" borderId="2" xfId="0" applyFont="1" applyFill="1" applyBorder="1" applyAlignment="1">
      <alignment horizontal="left" vertical="top" textRotation="90"/>
    </xf>
    <xf numFmtId="0" fontId="6" fillId="24" borderId="2" xfId="0" applyFont="1" applyFill="1" applyBorder="1" applyAlignment="1">
      <alignment horizontal="left" vertical="top" textRotation="90"/>
    </xf>
    <xf numFmtId="164" fontId="12" fillId="0" borderId="2" xfId="0" applyNumberFormat="1" applyFont="1" applyBorder="1" applyAlignment="1">
      <alignment horizontal="center" vertical="center" wrapText="1"/>
    </xf>
    <xf numFmtId="0" fontId="11" fillId="17" borderId="1" xfId="0" applyFont="1" applyFill="1" applyBorder="1"/>
    <xf numFmtId="0" fontId="3" fillId="0" borderId="2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2" fillId="19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165" fontId="9" fillId="26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25" borderId="0" xfId="0" applyFont="1" applyFill="1" applyBorder="1" applyAlignment="1">
      <alignment horizontal="left" vertical="center" wrapText="1"/>
    </xf>
    <xf numFmtId="0" fontId="9" fillId="26" borderId="0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center" vertical="top" textRotation="90"/>
    </xf>
    <xf numFmtId="164" fontId="8" fillId="0" borderId="14" xfId="0" applyNumberFormat="1" applyFont="1" applyBorder="1" applyAlignment="1">
      <alignment horizontal="center" vertical="center" wrapText="1"/>
    </xf>
    <xf numFmtId="164" fontId="12" fillId="0" borderId="8" xfId="0" applyNumberFormat="1" applyFont="1" applyBorder="1" applyAlignment="1">
      <alignment horizontal="center" vertical="center" wrapText="1"/>
    </xf>
    <xf numFmtId="0" fontId="0" fillId="17" borderId="0" xfId="0" applyFill="1" applyBorder="1"/>
    <xf numFmtId="0" fontId="2" fillId="19" borderId="15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0" fillId="17" borderId="17" xfId="0" applyFill="1" applyBorder="1"/>
    <xf numFmtId="164" fontId="8" fillId="0" borderId="16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164" fontId="12" fillId="0" borderId="19" xfId="0" applyNumberFormat="1" applyFont="1" applyBorder="1" applyAlignment="1">
      <alignment horizontal="center" vertical="center" wrapText="1"/>
    </xf>
    <xf numFmtId="164" fontId="12" fillId="0" borderId="16" xfId="0" applyNumberFormat="1" applyFont="1" applyBorder="1" applyAlignment="1">
      <alignment horizontal="center" vertical="center" wrapText="1"/>
    </xf>
    <xf numFmtId="0" fontId="2" fillId="34" borderId="20" xfId="0" applyFont="1" applyFill="1" applyBorder="1" applyAlignment="1">
      <alignment horizontal="left" vertical="center" wrapText="1"/>
    </xf>
    <xf numFmtId="0" fontId="0" fillId="34" borderId="20" xfId="0" applyFill="1" applyBorder="1"/>
    <xf numFmtId="0" fontId="11" fillId="34" borderId="20" xfId="0" applyFont="1" applyFill="1" applyBorder="1" applyAlignment="1">
      <alignment textRotation="90"/>
    </xf>
    <xf numFmtId="0" fontId="14" fillId="0" borderId="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2" fillId="5" borderId="12" xfId="0" applyFont="1" applyFill="1" applyBorder="1" applyAlignment="1">
      <alignment horizontal="center" vertical="top" textRotation="90"/>
    </xf>
    <xf numFmtId="0" fontId="14" fillId="0" borderId="1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12" fillId="35" borderId="19" xfId="0" applyNumberFormat="1" applyFont="1" applyFill="1" applyBorder="1" applyAlignment="1">
      <alignment horizontal="center" vertical="center" wrapText="1"/>
    </xf>
    <xf numFmtId="164" fontId="12" fillId="35" borderId="16" xfId="0" applyNumberFormat="1" applyFont="1" applyFill="1" applyBorder="1" applyAlignment="1">
      <alignment horizontal="center" vertical="center" wrapText="1"/>
    </xf>
    <xf numFmtId="164" fontId="12" fillId="35" borderId="8" xfId="0" applyNumberFormat="1" applyFont="1" applyFill="1" applyBorder="1" applyAlignment="1">
      <alignment horizontal="center" vertical="center" wrapText="1"/>
    </xf>
    <xf numFmtId="164" fontId="12" fillId="3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C6BB93-7E02-43F1-8F29-EF7208A1008C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R175"/>
  <sheetViews>
    <sheetView zoomScale="130" zoomScaleNormal="130" workbookViewId="0">
      <pane xSplit="5" ySplit="4" topLeftCell="F5" activePane="bottomRight" state="frozen"/>
      <selection pane="topRight"/>
      <selection pane="bottomLeft"/>
      <selection pane="bottomRight" activeCell="CM64" sqref="A1:XFD1048576"/>
    </sheetView>
  </sheetViews>
  <sheetFormatPr defaultRowHeight="15" x14ac:dyDescent="0.25"/>
  <cols>
    <col min="1" max="1" width="3.85546875" bestFit="1" customWidth="1"/>
    <col min="2" max="2" width="49.28515625" bestFit="1" customWidth="1"/>
    <col min="3" max="3" width="6" customWidth="1"/>
    <col min="4" max="4" width="15.7109375" bestFit="1" customWidth="1"/>
    <col min="5" max="5" width="28" customWidth="1"/>
    <col min="6" max="6" width="5" hidden="1" customWidth="1"/>
    <col min="7" max="44" width="3.140625" hidden="1" customWidth="1"/>
    <col min="45" max="45" width="5" hidden="1" customWidth="1"/>
    <col min="46" max="83" width="3.140625" hidden="1" customWidth="1"/>
    <col min="84" max="84" width="5" customWidth="1"/>
    <col min="85" max="89" width="3.140625" customWidth="1"/>
    <col min="90" max="94" width="3.85546875" bestFit="1" customWidth="1"/>
    <col min="95" max="95" width="4.5703125" bestFit="1" customWidth="1"/>
    <col min="96" max="97" width="3.85546875" bestFit="1" customWidth="1"/>
    <col min="98" max="98" width="5.7109375" bestFit="1" customWidth="1"/>
    <col min="99" max="99" width="4.5703125" bestFit="1" customWidth="1"/>
    <col min="100" max="100" width="5.7109375" bestFit="1" customWidth="1"/>
    <col min="101" max="101" width="3.85546875" bestFit="1" customWidth="1"/>
    <col min="102" max="102" width="4.5703125" bestFit="1" customWidth="1"/>
    <col min="103" max="103" width="3.85546875" bestFit="1" customWidth="1"/>
    <col min="104" max="104" width="5.28515625" bestFit="1" customWidth="1"/>
    <col min="105" max="105" width="5.7109375" bestFit="1" customWidth="1"/>
    <col min="106" max="106" width="3.85546875" bestFit="1" customWidth="1"/>
    <col min="107" max="107" width="4.5703125" bestFit="1" customWidth="1"/>
    <col min="108" max="110" width="5.7109375" bestFit="1" customWidth="1"/>
    <col min="111" max="111" width="5.28515625" bestFit="1" customWidth="1"/>
    <col min="112" max="113" width="5.7109375" bestFit="1" customWidth="1"/>
    <col min="114" max="115" width="3.85546875" bestFit="1" customWidth="1"/>
    <col min="116" max="116" width="6.85546875" bestFit="1" customWidth="1"/>
    <col min="117" max="120" width="3.85546875" bestFit="1" customWidth="1"/>
    <col min="121" max="121" width="5.28515625" bestFit="1" customWidth="1"/>
    <col min="122" max="122" width="3.85546875" bestFit="1" customWidth="1"/>
    <col min="123" max="123" width="5.140625" bestFit="1" customWidth="1"/>
    <col min="124" max="138" width="3.85546875" bestFit="1" customWidth="1"/>
    <col min="139" max="161" width="3.140625" customWidth="1"/>
    <col min="162" max="162" width="5" customWidth="1"/>
    <col min="163" max="200" width="3.140625" customWidth="1"/>
    <col min="201" max="201" width="5" customWidth="1"/>
    <col min="202" max="239" width="3.140625" customWidth="1"/>
    <col min="240" max="240" width="5" customWidth="1"/>
    <col min="241" max="278" width="3.140625" customWidth="1"/>
    <col min="279" max="279" width="5" customWidth="1"/>
    <col min="280" max="317" width="3.140625" customWidth="1"/>
    <col min="318" max="318" width="5" customWidth="1"/>
    <col min="319" max="356" width="3.140625" customWidth="1"/>
    <col min="357" max="357" width="5" customWidth="1"/>
    <col min="358" max="395" width="3.140625" customWidth="1"/>
    <col min="396" max="396" width="5" customWidth="1"/>
    <col min="397" max="434" width="3.140625" customWidth="1"/>
  </cols>
  <sheetData>
    <row r="1" spans="1:434" ht="6" customHeight="1" thickBot="1" x14ac:dyDescent="0.3"/>
    <row r="2" spans="1:434" ht="21.95" customHeight="1" x14ac:dyDescent="0.25">
      <c r="A2" s="98" t="s">
        <v>0</v>
      </c>
      <c r="B2" s="99"/>
      <c r="C2" s="99"/>
      <c r="D2" s="99"/>
      <c r="E2" s="100"/>
      <c r="F2" s="96" t="s">
        <v>1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9"/>
      <c r="AS2" s="97" t="s">
        <v>2</v>
      </c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9"/>
      <c r="CF2" s="91" t="s">
        <v>3</v>
      </c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9"/>
      <c r="GS2" s="94" t="s">
        <v>4</v>
      </c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9"/>
      <c r="MS2" s="95" t="s">
        <v>5</v>
      </c>
      <c r="MT2" s="88"/>
      <c r="MU2" s="88"/>
      <c r="MV2" s="88"/>
      <c r="MW2" s="88"/>
      <c r="MX2" s="88"/>
      <c r="MY2" s="88"/>
      <c r="MZ2" s="88"/>
      <c r="NA2" s="88"/>
      <c r="NB2" s="88"/>
      <c r="NC2" s="88"/>
      <c r="ND2" s="88"/>
      <c r="NE2" s="88"/>
      <c r="NF2" s="88"/>
      <c r="NG2" s="88"/>
      <c r="NH2" s="88"/>
      <c r="NI2" s="88"/>
      <c r="NJ2" s="88"/>
      <c r="NK2" s="88"/>
      <c r="NL2" s="88"/>
      <c r="NM2" s="88"/>
      <c r="NN2" s="88"/>
      <c r="NO2" s="88"/>
      <c r="NP2" s="88"/>
      <c r="NQ2" s="88"/>
      <c r="NR2" s="88"/>
      <c r="NS2" s="88"/>
      <c r="NT2" s="88"/>
      <c r="NU2" s="88"/>
      <c r="NV2" s="88"/>
      <c r="NW2" s="88"/>
      <c r="NX2" s="88"/>
      <c r="NY2" s="88"/>
      <c r="NZ2" s="88"/>
      <c r="OA2" s="88"/>
      <c r="OB2" s="88"/>
      <c r="OC2" s="88"/>
      <c r="OD2" s="88"/>
      <c r="OE2" s="88"/>
      <c r="OF2" s="88"/>
      <c r="OG2" s="88"/>
      <c r="OH2" s="88"/>
      <c r="OI2" s="88"/>
      <c r="OJ2" s="88"/>
      <c r="OK2" s="88"/>
      <c r="OL2" s="88"/>
      <c r="OM2" s="88"/>
      <c r="ON2" s="88"/>
      <c r="OO2" s="88"/>
      <c r="OP2" s="88"/>
      <c r="OQ2" s="88"/>
      <c r="OR2" s="88"/>
      <c r="OS2" s="88"/>
      <c r="OT2" s="88"/>
      <c r="OU2" s="88"/>
      <c r="OV2" s="88"/>
      <c r="OW2" s="88"/>
      <c r="OX2" s="88"/>
      <c r="OY2" s="88"/>
      <c r="OZ2" s="88"/>
      <c r="PA2" s="88"/>
      <c r="PB2" s="88"/>
      <c r="PC2" s="88"/>
      <c r="PD2" s="88"/>
      <c r="PE2" s="88"/>
      <c r="PF2" s="88"/>
      <c r="PG2" s="88"/>
      <c r="PH2" s="88"/>
      <c r="PI2" s="88"/>
      <c r="PJ2" s="88"/>
      <c r="PK2" s="88"/>
      <c r="PL2" s="88"/>
      <c r="PM2" s="88"/>
      <c r="PN2" s="88"/>
      <c r="PO2" s="88"/>
      <c r="PP2" s="88"/>
      <c r="PQ2" s="88"/>
      <c r="PR2" s="89"/>
    </row>
    <row r="3" spans="1:434" ht="26.45" customHeight="1" thickBot="1" x14ac:dyDescent="0.3">
      <c r="A3" s="101"/>
      <c r="B3" s="102"/>
      <c r="C3" s="102"/>
      <c r="D3" s="102"/>
      <c r="E3" s="103"/>
      <c r="F3" s="20" t="s">
        <v>6</v>
      </c>
      <c r="G3" s="92" t="s">
        <v>7</v>
      </c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9"/>
      <c r="AS3" s="20" t="s">
        <v>8</v>
      </c>
      <c r="AT3" s="92" t="s">
        <v>350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9"/>
      <c r="CF3" s="20" t="s">
        <v>9</v>
      </c>
      <c r="CG3" s="92" t="s">
        <v>349</v>
      </c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9"/>
      <c r="DS3" s="20" t="s">
        <v>10</v>
      </c>
      <c r="DT3" s="93" t="s">
        <v>351</v>
      </c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9"/>
      <c r="FF3" s="20" t="s">
        <v>11</v>
      </c>
      <c r="FG3" s="93" t="s">
        <v>352</v>
      </c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9"/>
      <c r="GS3" s="20" t="s">
        <v>12</v>
      </c>
      <c r="GT3" s="93" t="s">
        <v>353</v>
      </c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9"/>
      <c r="IF3" s="20" t="s">
        <v>13</v>
      </c>
      <c r="IG3" s="93" t="s">
        <v>354</v>
      </c>
      <c r="IH3" s="88"/>
      <c r="II3" s="88"/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  <c r="IW3" s="88"/>
      <c r="IX3" s="88"/>
      <c r="IY3" s="88"/>
      <c r="IZ3" s="88"/>
      <c r="JA3" s="88"/>
      <c r="JB3" s="88"/>
      <c r="JC3" s="88"/>
      <c r="JD3" s="88"/>
      <c r="JE3" s="88"/>
      <c r="JF3" s="88"/>
      <c r="JG3" s="88"/>
      <c r="JH3" s="88"/>
      <c r="JI3" s="88"/>
      <c r="JJ3" s="88"/>
      <c r="JK3" s="88"/>
      <c r="JL3" s="88"/>
      <c r="JM3" s="88"/>
      <c r="JN3" s="88"/>
      <c r="JO3" s="88"/>
      <c r="JP3" s="88"/>
      <c r="JQ3" s="88"/>
      <c r="JR3" s="89"/>
      <c r="JS3" s="20" t="s">
        <v>14</v>
      </c>
      <c r="JT3" s="93" t="s">
        <v>355</v>
      </c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8"/>
      <c r="KT3" s="88"/>
      <c r="KU3" s="88"/>
      <c r="KV3" s="88"/>
      <c r="KW3" s="88"/>
      <c r="KX3" s="88"/>
      <c r="KY3" s="88"/>
      <c r="KZ3" s="88"/>
      <c r="LA3" s="88"/>
      <c r="LB3" s="88"/>
      <c r="LC3" s="88"/>
      <c r="LD3" s="88"/>
      <c r="LE3" s="89"/>
      <c r="LF3" s="20" t="s">
        <v>15</v>
      </c>
      <c r="LG3" s="92" t="s">
        <v>16</v>
      </c>
      <c r="LH3" s="88"/>
      <c r="LI3" s="88"/>
      <c r="LJ3" s="88"/>
      <c r="LK3" s="88"/>
      <c r="LL3" s="88"/>
      <c r="LM3" s="88"/>
      <c r="LN3" s="88"/>
      <c r="LO3" s="88"/>
      <c r="LP3" s="88"/>
      <c r="LQ3" s="88"/>
      <c r="LR3" s="88"/>
      <c r="LS3" s="88"/>
      <c r="LT3" s="88"/>
      <c r="LU3" s="88"/>
      <c r="LV3" s="88"/>
      <c r="LW3" s="88"/>
      <c r="LX3" s="88"/>
      <c r="LY3" s="88"/>
      <c r="LZ3" s="88"/>
      <c r="MA3" s="88"/>
      <c r="MB3" s="88"/>
      <c r="MC3" s="88"/>
      <c r="MD3" s="88"/>
      <c r="ME3" s="88"/>
      <c r="MF3" s="88"/>
      <c r="MG3" s="88"/>
      <c r="MH3" s="88"/>
      <c r="MI3" s="88"/>
      <c r="MJ3" s="88"/>
      <c r="MK3" s="88"/>
      <c r="ML3" s="88"/>
      <c r="MM3" s="88"/>
      <c r="MN3" s="88"/>
      <c r="MO3" s="88"/>
      <c r="MP3" s="88"/>
      <c r="MQ3" s="88"/>
      <c r="MR3" s="89"/>
      <c r="MS3" s="20" t="s">
        <v>17</v>
      </c>
      <c r="MT3" s="92" t="s">
        <v>18</v>
      </c>
      <c r="MU3" s="88"/>
      <c r="MV3" s="88"/>
      <c r="MW3" s="88"/>
      <c r="MX3" s="88"/>
      <c r="MY3" s="88"/>
      <c r="MZ3" s="88"/>
      <c r="NA3" s="88"/>
      <c r="NB3" s="88"/>
      <c r="NC3" s="88"/>
      <c r="ND3" s="88"/>
      <c r="NE3" s="88"/>
      <c r="NF3" s="88"/>
      <c r="NG3" s="88"/>
      <c r="NH3" s="88"/>
      <c r="NI3" s="88"/>
      <c r="NJ3" s="88"/>
      <c r="NK3" s="88"/>
      <c r="NL3" s="88"/>
      <c r="NM3" s="88"/>
      <c r="NN3" s="88"/>
      <c r="NO3" s="88"/>
      <c r="NP3" s="88"/>
      <c r="NQ3" s="88"/>
      <c r="NR3" s="88"/>
      <c r="NS3" s="88"/>
      <c r="NT3" s="88"/>
      <c r="NU3" s="88"/>
      <c r="NV3" s="88"/>
      <c r="NW3" s="88"/>
      <c r="NX3" s="88"/>
      <c r="NY3" s="88"/>
      <c r="NZ3" s="88"/>
      <c r="OA3" s="88"/>
      <c r="OB3" s="88"/>
      <c r="OC3" s="88"/>
      <c r="OD3" s="88"/>
      <c r="OE3" s="89"/>
      <c r="OF3" s="20" t="s">
        <v>19</v>
      </c>
      <c r="OG3" s="92" t="s">
        <v>20</v>
      </c>
      <c r="OH3" s="88"/>
      <c r="OI3" s="88"/>
      <c r="OJ3" s="88"/>
      <c r="OK3" s="88"/>
      <c r="OL3" s="88"/>
      <c r="OM3" s="88"/>
      <c r="ON3" s="88"/>
      <c r="OO3" s="88"/>
      <c r="OP3" s="88"/>
      <c r="OQ3" s="88"/>
      <c r="OR3" s="88"/>
      <c r="OS3" s="88"/>
      <c r="OT3" s="88"/>
      <c r="OU3" s="88"/>
      <c r="OV3" s="88"/>
      <c r="OW3" s="88"/>
      <c r="OX3" s="88"/>
      <c r="OY3" s="88"/>
      <c r="OZ3" s="88"/>
      <c r="PA3" s="88"/>
      <c r="PB3" s="88"/>
      <c r="PC3" s="88"/>
      <c r="PD3" s="88"/>
      <c r="PE3" s="88"/>
      <c r="PF3" s="88"/>
      <c r="PG3" s="88"/>
      <c r="PH3" s="88"/>
      <c r="PI3" s="88"/>
      <c r="PJ3" s="88"/>
      <c r="PK3" s="88"/>
      <c r="PL3" s="88"/>
      <c r="PM3" s="88"/>
      <c r="PN3" s="88"/>
      <c r="PO3" s="88"/>
      <c r="PP3" s="88"/>
      <c r="PQ3" s="88"/>
      <c r="PR3" s="89"/>
    </row>
    <row r="4" spans="1:434" ht="86.25" thickBot="1" x14ac:dyDescent="0.3">
      <c r="A4" s="22" t="s">
        <v>21</v>
      </c>
      <c r="B4" s="22" t="s">
        <v>22</v>
      </c>
      <c r="C4" s="22" t="s">
        <v>23</v>
      </c>
      <c r="D4" s="22" t="s">
        <v>24</v>
      </c>
      <c r="E4" s="22" t="s">
        <v>25</v>
      </c>
      <c r="F4" s="23"/>
      <c r="G4" s="74" t="s">
        <v>26</v>
      </c>
      <c r="H4" s="74" t="s">
        <v>27</v>
      </c>
      <c r="I4" s="74" t="s">
        <v>28</v>
      </c>
      <c r="J4" s="74" t="s">
        <v>29</v>
      </c>
      <c r="K4" s="74" t="s">
        <v>30</v>
      </c>
      <c r="L4" s="75" t="s">
        <v>31</v>
      </c>
      <c r="M4" s="75" t="s">
        <v>32</v>
      </c>
      <c r="N4" s="75" t="s">
        <v>33</v>
      </c>
      <c r="O4" s="75" t="s">
        <v>34</v>
      </c>
      <c r="P4" s="75" t="s">
        <v>35</v>
      </c>
      <c r="Q4" s="76" t="s">
        <v>36</v>
      </c>
      <c r="R4" s="76" t="s">
        <v>37</v>
      </c>
      <c r="S4" s="76" t="s">
        <v>38</v>
      </c>
      <c r="T4" s="76" t="s">
        <v>39</v>
      </c>
      <c r="U4" s="76" t="s">
        <v>40</v>
      </c>
      <c r="V4" s="76" t="s">
        <v>41</v>
      </c>
      <c r="W4" s="76" t="s">
        <v>42</v>
      </c>
      <c r="X4" s="76" t="s">
        <v>43</v>
      </c>
      <c r="Y4" s="77" t="s">
        <v>44</v>
      </c>
      <c r="Z4" s="77" t="s">
        <v>45</v>
      </c>
      <c r="AA4" s="77" t="s">
        <v>46</v>
      </c>
      <c r="AB4" s="77" t="s">
        <v>47</v>
      </c>
      <c r="AC4" s="77" t="s">
        <v>48</v>
      </c>
      <c r="AD4" s="77" t="s">
        <v>49</v>
      </c>
      <c r="AE4" s="77" t="s">
        <v>50</v>
      </c>
      <c r="AF4" s="77" t="s">
        <v>51</v>
      </c>
      <c r="AG4" s="77" t="s">
        <v>52</v>
      </c>
      <c r="AH4" s="77" t="s">
        <v>53</v>
      </c>
      <c r="AI4" s="77" t="s">
        <v>54</v>
      </c>
      <c r="AJ4" s="78" t="s">
        <v>55</v>
      </c>
      <c r="AK4" s="78" t="s">
        <v>56</v>
      </c>
      <c r="AL4" s="78" t="s">
        <v>57</v>
      </c>
      <c r="AM4" s="78" t="s">
        <v>58</v>
      </c>
      <c r="AN4" s="78" t="s">
        <v>59</v>
      </c>
      <c r="AO4" s="78" t="s">
        <v>60</v>
      </c>
      <c r="AP4" s="79" t="s">
        <v>61</v>
      </c>
      <c r="AQ4" s="80" t="s">
        <v>62</v>
      </c>
      <c r="AR4" s="81" t="s">
        <v>63</v>
      </c>
      <c r="AS4" s="23"/>
      <c r="AT4" s="74" t="s">
        <v>26</v>
      </c>
      <c r="AU4" s="74" t="s">
        <v>27</v>
      </c>
      <c r="AV4" s="74" t="s">
        <v>28</v>
      </c>
      <c r="AW4" s="74" t="s">
        <v>29</v>
      </c>
      <c r="AX4" s="74" t="s">
        <v>30</v>
      </c>
      <c r="AY4" s="75" t="s">
        <v>31</v>
      </c>
      <c r="AZ4" s="75" t="s">
        <v>32</v>
      </c>
      <c r="BA4" s="75" t="s">
        <v>33</v>
      </c>
      <c r="BB4" s="75" t="s">
        <v>34</v>
      </c>
      <c r="BC4" s="75" t="s">
        <v>35</v>
      </c>
      <c r="BD4" s="76" t="s">
        <v>36</v>
      </c>
      <c r="BE4" s="76" t="s">
        <v>37</v>
      </c>
      <c r="BF4" s="76" t="s">
        <v>38</v>
      </c>
      <c r="BG4" s="76" t="s">
        <v>39</v>
      </c>
      <c r="BH4" s="76" t="s">
        <v>40</v>
      </c>
      <c r="BI4" s="76" t="s">
        <v>41</v>
      </c>
      <c r="BJ4" s="76" t="s">
        <v>42</v>
      </c>
      <c r="BK4" s="76" t="s">
        <v>43</v>
      </c>
      <c r="BL4" s="77" t="s">
        <v>44</v>
      </c>
      <c r="BM4" s="77" t="s">
        <v>45</v>
      </c>
      <c r="BN4" s="77" t="s">
        <v>46</v>
      </c>
      <c r="BO4" s="77" t="s">
        <v>47</v>
      </c>
      <c r="BP4" s="77" t="s">
        <v>48</v>
      </c>
      <c r="BQ4" s="77" t="s">
        <v>49</v>
      </c>
      <c r="BR4" s="77" t="s">
        <v>50</v>
      </c>
      <c r="BS4" s="77" t="s">
        <v>51</v>
      </c>
      <c r="BT4" s="77" t="s">
        <v>52</v>
      </c>
      <c r="BU4" s="77" t="s">
        <v>53</v>
      </c>
      <c r="BV4" s="77" t="s">
        <v>54</v>
      </c>
      <c r="BW4" s="78" t="s">
        <v>55</v>
      </c>
      <c r="BX4" s="78" t="s">
        <v>56</v>
      </c>
      <c r="BY4" s="78" t="s">
        <v>57</v>
      </c>
      <c r="BZ4" s="78" t="s">
        <v>58</v>
      </c>
      <c r="CA4" s="78" t="s">
        <v>59</v>
      </c>
      <c r="CB4" s="78" t="s">
        <v>60</v>
      </c>
      <c r="CC4" s="79" t="s">
        <v>61</v>
      </c>
      <c r="CD4" s="80" t="s">
        <v>62</v>
      </c>
      <c r="CE4" s="81" t="s">
        <v>63</v>
      </c>
      <c r="CF4" s="23"/>
      <c r="CG4" s="74" t="s">
        <v>26</v>
      </c>
      <c r="CH4" s="74" t="s">
        <v>27</v>
      </c>
      <c r="CI4" s="74" t="s">
        <v>28</v>
      </c>
      <c r="CJ4" s="74" t="s">
        <v>29</v>
      </c>
      <c r="CK4" s="74" t="s">
        <v>30</v>
      </c>
      <c r="CL4" s="75" t="s">
        <v>31</v>
      </c>
      <c r="CM4" s="75" t="s">
        <v>32</v>
      </c>
      <c r="CN4" s="75" t="s">
        <v>33</v>
      </c>
      <c r="CO4" s="75" t="s">
        <v>34</v>
      </c>
      <c r="CP4" s="75" t="s">
        <v>35</v>
      </c>
      <c r="CQ4" s="76" t="s">
        <v>36</v>
      </c>
      <c r="CR4" s="76" t="s">
        <v>37</v>
      </c>
      <c r="CS4" s="76" t="s">
        <v>38</v>
      </c>
      <c r="CT4" s="76" t="s">
        <v>39</v>
      </c>
      <c r="CU4" s="76" t="s">
        <v>40</v>
      </c>
      <c r="CV4" s="76" t="s">
        <v>41</v>
      </c>
      <c r="CW4" s="76" t="s">
        <v>42</v>
      </c>
      <c r="CX4" s="76" t="s">
        <v>43</v>
      </c>
      <c r="CY4" s="77" t="s">
        <v>44</v>
      </c>
      <c r="CZ4" s="77" t="s">
        <v>45</v>
      </c>
      <c r="DA4" s="77" t="s">
        <v>46</v>
      </c>
      <c r="DB4" s="77" t="s">
        <v>47</v>
      </c>
      <c r="DC4" s="77" t="s">
        <v>48</v>
      </c>
      <c r="DD4" s="77" t="s">
        <v>49</v>
      </c>
      <c r="DE4" s="77" t="s">
        <v>50</v>
      </c>
      <c r="DF4" s="77" t="s">
        <v>51</v>
      </c>
      <c r="DG4" s="77" t="s">
        <v>52</v>
      </c>
      <c r="DH4" s="77" t="s">
        <v>53</v>
      </c>
      <c r="DI4" s="77" t="s">
        <v>54</v>
      </c>
      <c r="DJ4" s="78" t="s">
        <v>55</v>
      </c>
      <c r="DK4" s="78" t="s">
        <v>56</v>
      </c>
      <c r="DL4" s="78" t="s">
        <v>57</v>
      </c>
      <c r="DM4" s="78" t="s">
        <v>58</v>
      </c>
      <c r="DN4" s="78" t="s">
        <v>59</v>
      </c>
      <c r="DO4" s="78" t="s">
        <v>60</v>
      </c>
      <c r="DP4" s="79" t="s">
        <v>61</v>
      </c>
      <c r="DQ4" s="80" t="s">
        <v>62</v>
      </c>
      <c r="DR4" s="81" t="s">
        <v>63</v>
      </c>
      <c r="DS4" s="23"/>
      <c r="DT4" s="74" t="s">
        <v>26</v>
      </c>
      <c r="DU4" s="74" t="s">
        <v>27</v>
      </c>
      <c r="DV4" s="74" t="s">
        <v>28</v>
      </c>
      <c r="DW4" s="74" t="s">
        <v>29</v>
      </c>
      <c r="DX4" s="74" t="s">
        <v>30</v>
      </c>
      <c r="DY4" s="75" t="s">
        <v>31</v>
      </c>
      <c r="DZ4" s="75" t="s">
        <v>32</v>
      </c>
      <c r="EA4" s="75" t="s">
        <v>33</v>
      </c>
      <c r="EB4" s="75" t="s">
        <v>34</v>
      </c>
      <c r="EC4" s="75" t="s">
        <v>35</v>
      </c>
      <c r="ED4" s="76" t="s">
        <v>36</v>
      </c>
      <c r="EE4" s="76" t="s">
        <v>37</v>
      </c>
      <c r="EF4" s="76" t="s">
        <v>38</v>
      </c>
      <c r="EG4" s="76" t="s">
        <v>39</v>
      </c>
      <c r="EH4" s="76" t="s">
        <v>40</v>
      </c>
      <c r="EI4" s="76" t="s">
        <v>41</v>
      </c>
      <c r="EJ4" s="76" t="s">
        <v>42</v>
      </c>
      <c r="EK4" s="76" t="s">
        <v>43</v>
      </c>
      <c r="EL4" s="77" t="s">
        <v>44</v>
      </c>
      <c r="EM4" s="77" t="s">
        <v>45</v>
      </c>
      <c r="EN4" s="77" t="s">
        <v>46</v>
      </c>
      <c r="EO4" s="77" t="s">
        <v>47</v>
      </c>
      <c r="EP4" s="77" t="s">
        <v>48</v>
      </c>
      <c r="EQ4" s="77" t="s">
        <v>49</v>
      </c>
      <c r="ER4" s="77" t="s">
        <v>50</v>
      </c>
      <c r="ES4" s="77" t="s">
        <v>51</v>
      </c>
      <c r="ET4" s="77" t="s">
        <v>52</v>
      </c>
      <c r="EU4" s="77" t="s">
        <v>53</v>
      </c>
      <c r="EV4" s="77" t="s">
        <v>54</v>
      </c>
      <c r="EW4" s="78" t="s">
        <v>55</v>
      </c>
      <c r="EX4" s="78" t="s">
        <v>56</v>
      </c>
      <c r="EY4" s="78" t="s">
        <v>57</v>
      </c>
      <c r="EZ4" s="78" t="s">
        <v>58</v>
      </c>
      <c r="FA4" s="78" t="s">
        <v>59</v>
      </c>
      <c r="FB4" s="78" t="s">
        <v>60</v>
      </c>
      <c r="FC4" s="79" t="s">
        <v>61</v>
      </c>
      <c r="FD4" s="80" t="s">
        <v>62</v>
      </c>
      <c r="FE4" s="81" t="s">
        <v>63</v>
      </c>
      <c r="FF4" s="23"/>
      <c r="FG4" s="74" t="s">
        <v>26</v>
      </c>
      <c r="FH4" s="74" t="s">
        <v>27</v>
      </c>
      <c r="FI4" s="74" t="s">
        <v>28</v>
      </c>
      <c r="FJ4" s="74" t="s">
        <v>29</v>
      </c>
      <c r="FK4" s="74" t="s">
        <v>30</v>
      </c>
      <c r="FL4" s="75" t="s">
        <v>31</v>
      </c>
      <c r="FM4" s="75" t="s">
        <v>32</v>
      </c>
      <c r="FN4" s="75" t="s">
        <v>33</v>
      </c>
      <c r="FO4" s="75" t="s">
        <v>34</v>
      </c>
      <c r="FP4" s="75" t="s">
        <v>35</v>
      </c>
      <c r="FQ4" s="76" t="s">
        <v>36</v>
      </c>
      <c r="FR4" s="76" t="s">
        <v>37</v>
      </c>
      <c r="FS4" s="76" t="s">
        <v>38</v>
      </c>
      <c r="FT4" s="76" t="s">
        <v>39</v>
      </c>
      <c r="FU4" s="76" t="s">
        <v>40</v>
      </c>
      <c r="FV4" s="76" t="s">
        <v>41</v>
      </c>
      <c r="FW4" s="76" t="s">
        <v>42</v>
      </c>
      <c r="FX4" s="76" t="s">
        <v>43</v>
      </c>
      <c r="FY4" s="77" t="s">
        <v>44</v>
      </c>
      <c r="FZ4" s="77" t="s">
        <v>45</v>
      </c>
      <c r="GA4" s="77" t="s">
        <v>46</v>
      </c>
      <c r="GB4" s="77" t="s">
        <v>47</v>
      </c>
      <c r="GC4" s="77" t="s">
        <v>48</v>
      </c>
      <c r="GD4" s="77" t="s">
        <v>49</v>
      </c>
      <c r="GE4" s="77" t="s">
        <v>50</v>
      </c>
      <c r="GF4" s="77" t="s">
        <v>51</v>
      </c>
      <c r="GG4" s="77" t="s">
        <v>52</v>
      </c>
      <c r="GH4" s="77" t="s">
        <v>53</v>
      </c>
      <c r="GI4" s="77" t="s">
        <v>54</v>
      </c>
      <c r="GJ4" s="78" t="s">
        <v>55</v>
      </c>
      <c r="GK4" s="78" t="s">
        <v>56</v>
      </c>
      <c r="GL4" s="78" t="s">
        <v>57</v>
      </c>
      <c r="GM4" s="78" t="s">
        <v>58</v>
      </c>
      <c r="GN4" s="78" t="s">
        <v>59</v>
      </c>
      <c r="GO4" s="78" t="s">
        <v>60</v>
      </c>
      <c r="GP4" s="79" t="s">
        <v>61</v>
      </c>
      <c r="GQ4" s="80" t="s">
        <v>62</v>
      </c>
      <c r="GR4" s="81" t="s">
        <v>63</v>
      </c>
      <c r="GS4" s="23"/>
      <c r="GT4" s="74" t="s">
        <v>26</v>
      </c>
      <c r="GU4" s="74" t="s">
        <v>27</v>
      </c>
      <c r="GV4" s="74" t="s">
        <v>28</v>
      </c>
      <c r="GW4" s="74" t="s">
        <v>29</v>
      </c>
      <c r="GX4" s="74" t="s">
        <v>30</v>
      </c>
      <c r="GY4" s="75" t="s">
        <v>31</v>
      </c>
      <c r="GZ4" s="75" t="s">
        <v>32</v>
      </c>
      <c r="HA4" s="75" t="s">
        <v>33</v>
      </c>
      <c r="HB4" s="75" t="s">
        <v>34</v>
      </c>
      <c r="HC4" s="75" t="s">
        <v>35</v>
      </c>
      <c r="HD4" s="76" t="s">
        <v>36</v>
      </c>
      <c r="HE4" s="76" t="s">
        <v>37</v>
      </c>
      <c r="HF4" s="76" t="s">
        <v>38</v>
      </c>
      <c r="HG4" s="76" t="s">
        <v>39</v>
      </c>
      <c r="HH4" s="76" t="s">
        <v>40</v>
      </c>
      <c r="HI4" s="76" t="s">
        <v>41</v>
      </c>
      <c r="HJ4" s="76" t="s">
        <v>42</v>
      </c>
      <c r="HK4" s="76" t="s">
        <v>43</v>
      </c>
      <c r="HL4" s="77" t="s">
        <v>44</v>
      </c>
      <c r="HM4" s="77" t="s">
        <v>45</v>
      </c>
      <c r="HN4" s="77" t="s">
        <v>46</v>
      </c>
      <c r="HO4" s="77" t="s">
        <v>47</v>
      </c>
      <c r="HP4" s="77" t="s">
        <v>48</v>
      </c>
      <c r="HQ4" s="77" t="s">
        <v>49</v>
      </c>
      <c r="HR4" s="77" t="s">
        <v>50</v>
      </c>
      <c r="HS4" s="77" t="s">
        <v>51</v>
      </c>
      <c r="HT4" s="77" t="s">
        <v>52</v>
      </c>
      <c r="HU4" s="77" t="s">
        <v>53</v>
      </c>
      <c r="HV4" s="77" t="s">
        <v>54</v>
      </c>
      <c r="HW4" s="78" t="s">
        <v>55</v>
      </c>
      <c r="HX4" s="78" t="s">
        <v>56</v>
      </c>
      <c r="HY4" s="78" t="s">
        <v>57</v>
      </c>
      <c r="HZ4" s="78" t="s">
        <v>58</v>
      </c>
      <c r="IA4" s="78" t="s">
        <v>59</v>
      </c>
      <c r="IB4" s="78" t="s">
        <v>60</v>
      </c>
      <c r="IC4" s="79" t="s">
        <v>61</v>
      </c>
      <c r="ID4" s="80" t="s">
        <v>62</v>
      </c>
      <c r="IE4" s="81" t="s">
        <v>63</v>
      </c>
      <c r="IF4" s="23"/>
      <c r="IG4" s="74" t="s">
        <v>26</v>
      </c>
      <c r="IH4" s="74" t="s">
        <v>27</v>
      </c>
      <c r="II4" s="74" t="s">
        <v>28</v>
      </c>
      <c r="IJ4" s="74" t="s">
        <v>29</v>
      </c>
      <c r="IK4" s="74" t="s">
        <v>30</v>
      </c>
      <c r="IL4" s="75" t="s">
        <v>31</v>
      </c>
      <c r="IM4" s="75" t="s">
        <v>32</v>
      </c>
      <c r="IN4" s="75" t="s">
        <v>33</v>
      </c>
      <c r="IO4" s="75" t="s">
        <v>34</v>
      </c>
      <c r="IP4" s="75" t="s">
        <v>35</v>
      </c>
      <c r="IQ4" s="76" t="s">
        <v>36</v>
      </c>
      <c r="IR4" s="76" t="s">
        <v>37</v>
      </c>
      <c r="IS4" s="76" t="s">
        <v>38</v>
      </c>
      <c r="IT4" s="76" t="s">
        <v>39</v>
      </c>
      <c r="IU4" s="76" t="s">
        <v>40</v>
      </c>
      <c r="IV4" s="76" t="s">
        <v>41</v>
      </c>
      <c r="IW4" s="76" t="s">
        <v>42</v>
      </c>
      <c r="IX4" s="76" t="s">
        <v>43</v>
      </c>
      <c r="IY4" s="77" t="s">
        <v>44</v>
      </c>
      <c r="IZ4" s="77" t="s">
        <v>45</v>
      </c>
      <c r="JA4" s="77" t="s">
        <v>46</v>
      </c>
      <c r="JB4" s="77" t="s">
        <v>47</v>
      </c>
      <c r="JC4" s="77" t="s">
        <v>48</v>
      </c>
      <c r="JD4" s="77" t="s">
        <v>49</v>
      </c>
      <c r="JE4" s="77" t="s">
        <v>50</v>
      </c>
      <c r="JF4" s="77" t="s">
        <v>51</v>
      </c>
      <c r="JG4" s="77" t="s">
        <v>52</v>
      </c>
      <c r="JH4" s="77" t="s">
        <v>53</v>
      </c>
      <c r="JI4" s="77" t="s">
        <v>54</v>
      </c>
      <c r="JJ4" s="78" t="s">
        <v>55</v>
      </c>
      <c r="JK4" s="78" t="s">
        <v>56</v>
      </c>
      <c r="JL4" s="78" t="s">
        <v>57</v>
      </c>
      <c r="JM4" s="78" t="s">
        <v>58</v>
      </c>
      <c r="JN4" s="78" t="s">
        <v>59</v>
      </c>
      <c r="JO4" s="78" t="s">
        <v>60</v>
      </c>
      <c r="JP4" s="79" t="s">
        <v>61</v>
      </c>
      <c r="JQ4" s="80" t="s">
        <v>62</v>
      </c>
      <c r="JR4" s="81" t="s">
        <v>63</v>
      </c>
      <c r="JS4" s="23"/>
      <c r="JT4" s="74" t="s">
        <v>26</v>
      </c>
      <c r="JU4" s="74" t="s">
        <v>27</v>
      </c>
      <c r="JV4" s="74" t="s">
        <v>28</v>
      </c>
      <c r="JW4" s="74" t="s">
        <v>29</v>
      </c>
      <c r="JX4" s="74" t="s">
        <v>30</v>
      </c>
      <c r="JY4" s="75" t="s">
        <v>31</v>
      </c>
      <c r="JZ4" s="75" t="s">
        <v>32</v>
      </c>
      <c r="KA4" s="75" t="s">
        <v>33</v>
      </c>
      <c r="KB4" s="75" t="s">
        <v>34</v>
      </c>
      <c r="KC4" s="75" t="s">
        <v>35</v>
      </c>
      <c r="KD4" s="76" t="s">
        <v>36</v>
      </c>
      <c r="KE4" s="76" t="s">
        <v>37</v>
      </c>
      <c r="KF4" s="76" t="s">
        <v>38</v>
      </c>
      <c r="KG4" s="76" t="s">
        <v>39</v>
      </c>
      <c r="KH4" s="76" t="s">
        <v>40</v>
      </c>
      <c r="KI4" s="76" t="s">
        <v>41</v>
      </c>
      <c r="KJ4" s="76" t="s">
        <v>42</v>
      </c>
      <c r="KK4" s="76" t="s">
        <v>43</v>
      </c>
      <c r="KL4" s="77" t="s">
        <v>44</v>
      </c>
      <c r="KM4" s="77" t="s">
        <v>45</v>
      </c>
      <c r="KN4" s="77" t="s">
        <v>46</v>
      </c>
      <c r="KO4" s="77" t="s">
        <v>47</v>
      </c>
      <c r="KP4" s="77" t="s">
        <v>48</v>
      </c>
      <c r="KQ4" s="77" t="s">
        <v>49</v>
      </c>
      <c r="KR4" s="77" t="s">
        <v>50</v>
      </c>
      <c r="KS4" s="77" t="s">
        <v>51</v>
      </c>
      <c r="KT4" s="77" t="s">
        <v>52</v>
      </c>
      <c r="KU4" s="77" t="s">
        <v>53</v>
      </c>
      <c r="KV4" s="77" t="s">
        <v>54</v>
      </c>
      <c r="KW4" s="78" t="s">
        <v>55</v>
      </c>
      <c r="KX4" s="78" t="s">
        <v>56</v>
      </c>
      <c r="KY4" s="78" t="s">
        <v>57</v>
      </c>
      <c r="KZ4" s="78" t="s">
        <v>58</v>
      </c>
      <c r="LA4" s="78" t="s">
        <v>59</v>
      </c>
      <c r="LB4" s="78" t="s">
        <v>60</v>
      </c>
      <c r="LC4" s="79" t="s">
        <v>61</v>
      </c>
      <c r="LD4" s="80" t="s">
        <v>62</v>
      </c>
      <c r="LE4" s="81" t="s">
        <v>63</v>
      </c>
      <c r="LF4" s="23"/>
      <c r="LG4" s="74" t="s">
        <v>26</v>
      </c>
      <c r="LH4" s="74" t="s">
        <v>27</v>
      </c>
      <c r="LI4" s="74" t="s">
        <v>28</v>
      </c>
      <c r="LJ4" s="74" t="s">
        <v>29</v>
      </c>
      <c r="LK4" s="74" t="s">
        <v>30</v>
      </c>
      <c r="LL4" s="75" t="s">
        <v>31</v>
      </c>
      <c r="LM4" s="75" t="s">
        <v>32</v>
      </c>
      <c r="LN4" s="75" t="s">
        <v>33</v>
      </c>
      <c r="LO4" s="75" t="s">
        <v>34</v>
      </c>
      <c r="LP4" s="75" t="s">
        <v>35</v>
      </c>
      <c r="LQ4" s="76" t="s">
        <v>36</v>
      </c>
      <c r="LR4" s="76" t="s">
        <v>37</v>
      </c>
      <c r="LS4" s="76" t="s">
        <v>38</v>
      </c>
      <c r="LT4" s="76" t="s">
        <v>39</v>
      </c>
      <c r="LU4" s="76" t="s">
        <v>40</v>
      </c>
      <c r="LV4" s="76" t="s">
        <v>41</v>
      </c>
      <c r="LW4" s="76" t="s">
        <v>42</v>
      </c>
      <c r="LX4" s="76" t="s">
        <v>43</v>
      </c>
      <c r="LY4" s="77" t="s">
        <v>44</v>
      </c>
      <c r="LZ4" s="77" t="s">
        <v>45</v>
      </c>
      <c r="MA4" s="77" t="s">
        <v>46</v>
      </c>
      <c r="MB4" s="77" t="s">
        <v>47</v>
      </c>
      <c r="MC4" s="77" t="s">
        <v>48</v>
      </c>
      <c r="MD4" s="77" t="s">
        <v>49</v>
      </c>
      <c r="ME4" s="77" t="s">
        <v>50</v>
      </c>
      <c r="MF4" s="77" t="s">
        <v>51</v>
      </c>
      <c r="MG4" s="77" t="s">
        <v>52</v>
      </c>
      <c r="MH4" s="77" t="s">
        <v>53</v>
      </c>
      <c r="MI4" s="77" t="s">
        <v>54</v>
      </c>
      <c r="MJ4" s="78" t="s">
        <v>55</v>
      </c>
      <c r="MK4" s="78" t="s">
        <v>56</v>
      </c>
      <c r="ML4" s="78" t="s">
        <v>57</v>
      </c>
      <c r="MM4" s="78" t="s">
        <v>58</v>
      </c>
      <c r="MN4" s="78" t="s">
        <v>59</v>
      </c>
      <c r="MO4" s="78" t="s">
        <v>60</v>
      </c>
      <c r="MP4" s="79" t="s">
        <v>61</v>
      </c>
      <c r="MQ4" s="80" t="s">
        <v>62</v>
      </c>
      <c r="MR4" s="81" t="s">
        <v>63</v>
      </c>
      <c r="MS4" s="23"/>
      <c r="MT4" s="74" t="s">
        <v>26</v>
      </c>
      <c r="MU4" s="74" t="s">
        <v>27</v>
      </c>
      <c r="MV4" s="74" t="s">
        <v>28</v>
      </c>
      <c r="MW4" s="74" t="s">
        <v>29</v>
      </c>
      <c r="MX4" s="74" t="s">
        <v>30</v>
      </c>
      <c r="MY4" s="75" t="s">
        <v>31</v>
      </c>
      <c r="MZ4" s="75" t="s">
        <v>32</v>
      </c>
      <c r="NA4" s="75" t="s">
        <v>33</v>
      </c>
      <c r="NB4" s="75" t="s">
        <v>34</v>
      </c>
      <c r="NC4" s="75" t="s">
        <v>35</v>
      </c>
      <c r="ND4" s="76" t="s">
        <v>36</v>
      </c>
      <c r="NE4" s="76" t="s">
        <v>37</v>
      </c>
      <c r="NF4" s="76" t="s">
        <v>38</v>
      </c>
      <c r="NG4" s="76" t="s">
        <v>39</v>
      </c>
      <c r="NH4" s="76" t="s">
        <v>40</v>
      </c>
      <c r="NI4" s="76" t="s">
        <v>41</v>
      </c>
      <c r="NJ4" s="76" t="s">
        <v>42</v>
      </c>
      <c r="NK4" s="76" t="s">
        <v>43</v>
      </c>
      <c r="NL4" s="77" t="s">
        <v>44</v>
      </c>
      <c r="NM4" s="77" t="s">
        <v>45</v>
      </c>
      <c r="NN4" s="77" t="s">
        <v>46</v>
      </c>
      <c r="NO4" s="77" t="s">
        <v>47</v>
      </c>
      <c r="NP4" s="77" t="s">
        <v>48</v>
      </c>
      <c r="NQ4" s="77" t="s">
        <v>49</v>
      </c>
      <c r="NR4" s="77" t="s">
        <v>50</v>
      </c>
      <c r="NS4" s="77" t="s">
        <v>51</v>
      </c>
      <c r="NT4" s="77" t="s">
        <v>52</v>
      </c>
      <c r="NU4" s="77" t="s">
        <v>53</v>
      </c>
      <c r="NV4" s="77" t="s">
        <v>54</v>
      </c>
      <c r="NW4" s="78" t="s">
        <v>55</v>
      </c>
      <c r="NX4" s="78" t="s">
        <v>56</v>
      </c>
      <c r="NY4" s="78" t="s">
        <v>57</v>
      </c>
      <c r="NZ4" s="78" t="s">
        <v>58</v>
      </c>
      <c r="OA4" s="78" t="s">
        <v>59</v>
      </c>
      <c r="OB4" s="78" t="s">
        <v>60</v>
      </c>
      <c r="OC4" s="79" t="s">
        <v>61</v>
      </c>
      <c r="OD4" s="80" t="s">
        <v>62</v>
      </c>
      <c r="OE4" s="81" t="s">
        <v>63</v>
      </c>
      <c r="OF4" s="23"/>
      <c r="OG4" s="74" t="s">
        <v>26</v>
      </c>
      <c r="OH4" s="74" t="s">
        <v>27</v>
      </c>
      <c r="OI4" s="74" t="s">
        <v>28</v>
      </c>
      <c r="OJ4" s="74" t="s">
        <v>29</v>
      </c>
      <c r="OK4" s="74" t="s">
        <v>30</v>
      </c>
      <c r="OL4" s="75" t="s">
        <v>31</v>
      </c>
      <c r="OM4" s="75" t="s">
        <v>32</v>
      </c>
      <c r="ON4" s="75" t="s">
        <v>33</v>
      </c>
      <c r="OO4" s="75" t="s">
        <v>34</v>
      </c>
      <c r="OP4" s="75" t="s">
        <v>35</v>
      </c>
      <c r="OQ4" s="76" t="s">
        <v>36</v>
      </c>
      <c r="OR4" s="76" t="s">
        <v>37</v>
      </c>
      <c r="OS4" s="76" t="s">
        <v>38</v>
      </c>
      <c r="OT4" s="76" t="s">
        <v>39</v>
      </c>
      <c r="OU4" s="76" t="s">
        <v>40</v>
      </c>
      <c r="OV4" s="76" t="s">
        <v>41</v>
      </c>
      <c r="OW4" s="76" t="s">
        <v>42</v>
      </c>
      <c r="OX4" s="76" t="s">
        <v>43</v>
      </c>
      <c r="OY4" s="77" t="s">
        <v>44</v>
      </c>
      <c r="OZ4" s="77" t="s">
        <v>45</v>
      </c>
      <c r="PA4" s="77" t="s">
        <v>46</v>
      </c>
      <c r="PB4" s="77" t="s">
        <v>47</v>
      </c>
      <c r="PC4" s="77" t="s">
        <v>48</v>
      </c>
      <c r="PD4" s="77" t="s">
        <v>49</v>
      </c>
      <c r="PE4" s="77" t="s">
        <v>50</v>
      </c>
      <c r="PF4" s="77" t="s">
        <v>51</v>
      </c>
      <c r="PG4" s="77" t="s">
        <v>52</v>
      </c>
      <c r="PH4" s="77" t="s">
        <v>53</v>
      </c>
      <c r="PI4" s="77" t="s">
        <v>54</v>
      </c>
      <c r="PJ4" s="78" t="s">
        <v>55</v>
      </c>
      <c r="PK4" s="78" t="s">
        <v>56</v>
      </c>
      <c r="PL4" s="78" t="s">
        <v>57</v>
      </c>
      <c r="PM4" s="78" t="s">
        <v>58</v>
      </c>
      <c r="PN4" s="78" t="s">
        <v>59</v>
      </c>
      <c r="PO4" s="78" t="s">
        <v>60</v>
      </c>
      <c r="PP4" s="79" t="s">
        <v>61</v>
      </c>
      <c r="PQ4" s="80" t="s">
        <v>62</v>
      </c>
      <c r="PR4" s="81" t="s">
        <v>63</v>
      </c>
    </row>
    <row r="5" spans="1:434" ht="21.95" customHeight="1" thickBot="1" x14ac:dyDescent="0.3">
      <c r="A5" s="87" t="s">
        <v>64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  <c r="FU5" s="88"/>
      <c r="FV5" s="88"/>
      <c r="FW5" s="88"/>
      <c r="FX5" s="88"/>
      <c r="FY5" s="88"/>
      <c r="FZ5" s="88"/>
      <c r="GA5" s="88"/>
      <c r="GB5" s="88"/>
      <c r="GC5" s="88"/>
      <c r="GD5" s="88"/>
      <c r="GE5" s="88"/>
      <c r="GF5" s="88"/>
      <c r="GG5" s="88"/>
      <c r="GH5" s="88"/>
      <c r="GI5" s="88"/>
      <c r="GJ5" s="88"/>
      <c r="GK5" s="88"/>
      <c r="GL5" s="88"/>
      <c r="GM5" s="88"/>
      <c r="GN5" s="88"/>
      <c r="GO5" s="88"/>
      <c r="GP5" s="88"/>
      <c r="GQ5" s="88"/>
      <c r="GR5" s="88"/>
      <c r="GS5" s="88"/>
      <c r="GT5" s="88"/>
      <c r="GU5" s="88"/>
      <c r="GV5" s="88"/>
      <c r="GW5" s="88"/>
      <c r="GX5" s="88"/>
      <c r="GY5" s="88"/>
      <c r="GZ5" s="88"/>
      <c r="HA5" s="88"/>
      <c r="HB5" s="88"/>
      <c r="HC5" s="88"/>
      <c r="HD5" s="88"/>
      <c r="HE5" s="88"/>
      <c r="HF5" s="88"/>
      <c r="HG5" s="88"/>
      <c r="HH5" s="88"/>
      <c r="HI5" s="88"/>
      <c r="HJ5" s="88"/>
      <c r="HK5" s="88"/>
      <c r="HL5" s="88"/>
      <c r="HM5" s="88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88"/>
      <c r="IY5" s="88"/>
      <c r="IZ5" s="88"/>
      <c r="JA5" s="88"/>
      <c r="JB5" s="88"/>
      <c r="JC5" s="88"/>
      <c r="JD5" s="88"/>
      <c r="JE5" s="88"/>
      <c r="JF5" s="88"/>
      <c r="JG5" s="88"/>
      <c r="JH5" s="88"/>
      <c r="JI5" s="88"/>
      <c r="JJ5" s="88"/>
      <c r="JK5" s="88"/>
      <c r="JL5" s="88"/>
      <c r="JM5" s="88"/>
      <c r="JN5" s="88"/>
      <c r="JO5" s="88"/>
      <c r="JP5" s="88"/>
      <c r="JQ5" s="88"/>
      <c r="JR5" s="88"/>
      <c r="JS5" s="88"/>
      <c r="JT5" s="88"/>
      <c r="JU5" s="88"/>
      <c r="JV5" s="88"/>
      <c r="JW5" s="88"/>
      <c r="JX5" s="88"/>
      <c r="JY5" s="88"/>
      <c r="JZ5" s="88"/>
      <c r="KA5" s="88"/>
      <c r="KB5" s="88"/>
      <c r="KC5" s="88"/>
      <c r="KD5" s="88"/>
      <c r="KE5" s="88"/>
      <c r="KF5" s="88"/>
      <c r="KG5" s="88"/>
      <c r="KH5" s="88"/>
      <c r="KI5" s="88"/>
      <c r="KJ5" s="88"/>
      <c r="KK5" s="88"/>
      <c r="KL5" s="88"/>
      <c r="KM5" s="88"/>
      <c r="KN5" s="88"/>
      <c r="KO5" s="88"/>
      <c r="KP5" s="88"/>
      <c r="KQ5" s="88"/>
      <c r="KR5" s="88"/>
      <c r="KS5" s="88"/>
      <c r="KT5" s="88"/>
      <c r="KU5" s="88"/>
      <c r="KV5" s="88"/>
      <c r="KW5" s="88"/>
      <c r="KX5" s="88"/>
      <c r="KY5" s="88"/>
      <c r="KZ5" s="88"/>
      <c r="LA5" s="88"/>
      <c r="LB5" s="88"/>
      <c r="LC5" s="88"/>
      <c r="LD5" s="88"/>
      <c r="LE5" s="88"/>
      <c r="LF5" s="88"/>
      <c r="LG5" s="88"/>
      <c r="LH5" s="88"/>
      <c r="LI5" s="88"/>
      <c r="LJ5" s="88"/>
      <c r="LK5" s="88"/>
      <c r="LL5" s="88"/>
      <c r="LM5" s="88"/>
      <c r="LN5" s="88"/>
      <c r="LO5" s="88"/>
      <c r="LP5" s="88"/>
      <c r="LQ5" s="88"/>
      <c r="LR5" s="88"/>
      <c r="LS5" s="88"/>
      <c r="LT5" s="88"/>
      <c r="LU5" s="88"/>
      <c r="LV5" s="88"/>
      <c r="LW5" s="88"/>
      <c r="LX5" s="88"/>
      <c r="LY5" s="88"/>
      <c r="LZ5" s="88"/>
      <c r="MA5" s="88"/>
      <c r="MB5" s="88"/>
      <c r="MC5" s="88"/>
      <c r="MD5" s="88"/>
      <c r="ME5" s="88"/>
      <c r="MF5" s="88"/>
      <c r="MG5" s="88"/>
      <c r="MH5" s="88"/>
      <c r="MI5" s="88"/>
      <c r="MJ5" s="88"/>
      <c r="MK5" s="88"/>
      <c r="ML5" s="88"/>
      <c r="MM5" s="88"/>
      <c r="MN5" s="88"/>
      <c r="MO5" s="88"/>
      <c r="MP5" s="88"/>
      <c r="MQ5" s="88"/>
      <c r="MR5" s="88"/>
      <c r="MS5" s="88"/>
      <c r="MT5" s="88"/>
      <c r="MU5" s="88"/>
      <c r="MV5" s="88"/>
      <c r="MW5" s="88"/>
      <c r="MX5" s="88"/>
      <c r="MY5" s="88"/>
      <c r="MZ5" s="88"/>
      <c r="NA5" s="88"/>
      <c r="NB5" s="88"/>
      <c r="NC5" s="88"/>
      <c r="ND5" s="88"/>
      <c r="NE5" s="88"/>
      <c r="NF5" s="88"/>
      <c r="NG5" s="88"/>
      <c r="NH5" s="88"/>
      <c r="NI5" s="88"/>
      <c r="NJ5" s="88"/>
      <c r="NK5" s="88"/>
      <c r="NL5" s="88"/>
      <c r="NM5" s="88"/>
      <c r="NN5" s="88"/>
      <c r="NO5" s="88"/>
      <c r="NP5" s="88"/>
      <c r="NQ5" s="88"/>
      <c r="NR5" s="88"/>
      <c r="NS5" s="88"/>
      <c r="NT5" s="88"/>
      <c r="NU5" s="88"/>
      <c r="NV5" s="88"/>
      <c r="NW5" s="88"/>
      <c r="NX5" s="88"/>
      <c r="NY5" s="88"/>
      <c r="NZ5" s="88"/>
      <c r="OA5" s="88"/>
      <c r="OB5" s="88"/>
      <c r="OC5" s="88"/>
      <c r="OD5" s="88"/>
      <c r="OE5" s="88"/>
      <c r="OF5" s="88"/>
      <c r="OG5" s="88"/>
      <c r="OH5" s="88"/>
      <c r="OI5" s="88"/>
      <c r="OJ5" s="88"/>
      <c r="OK5" s="88"/>
      <c r="OL5" s="88"/>
      <c r="OM5" s="88"/>
      <c r="ON5" s="88"/>
      <c r="OO5" s="88"/>
      <c r="OP5" s="88"/>
      <c r="OQ5" s="88"/>
      <c r="OR5" s="88"/>
      <c r="OS5" s="88"/>
      <c r="OT5" s="88"/>
      <c r="OU5" s="88"/>
      <c r="OV5" s="88"/>
      <c r="OW5" s="88"/>
      <c r="OX5" s="88"/>
      <c r="OY5" s="88"/>
      <c r="OZ5" s="88"/>
      <c r="PA5" s="88"/>
      <c r="PB5" s="88"/>
      <c r="PC5" s="88"/>
      <c r="PD5" s="88"/>
      <c r="PE5" s="88"/>
      <c r="PF5" s="88"/>
      <c r="PG5" s="88"/>
      <c r="PH5" s="88"/>
      <c r="PI5" s="88"/>
      <c r="PJ5" s="88"/>
      <c r="PK5" s="88"/>
      <c r="PL5" s="88"/>
      <c r="PM5" s="88"/>
      <c r="PN5" s="88"/>
      <c r="PO5" s="88"/>
      <c r="PP5" s="88"/>
      <c r="PQ5" s="88"/>
      <c r="PR5" s="89"/>
    </row>
    <row r="6" spans="1:434" x14ac:dyDescent="0.25">
      <c r="A6" s="24"/>
      <c r="B6" s="25" t="s">
        <v>65</v>
      </c>
      <c r="C6" s="24" t="s">
        <v>66</v>
      </c>
      <c r="D6" s="24" t="s">
        <v>67</v>
      </c>
      <c r="E6" s="24"/>
      <c r="F6" s="23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3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3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23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3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3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3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3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3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3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3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</row>
    <row r="7" spans="1:434" x14ac:dyDescent="0.25">
      <c r="A7" s="24"/>
      <c r="B7" s="25" t="s">
        <v>68</v>
      </c>
      <c r="C7" s="24" t="s">
        <v>66</v>
      </c>
      <c r="D7" s="24" t="s">
        <v>67</v>
      </c>
      <c r="E7" s="24"/>
      <c r="F7" s="2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3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3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23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3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3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3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3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3"/>
      <c r="LG7" s="26"/>
      <c r="LH7" s="26"/>
      <c r="LI7" s="26"/>
      <c r="LJ7" s="26"/>
      <c r="LK7" s="26"/>
      <c r="LL7" s="26"/>
      <c r="LM7" s="26"/>
      <c r="LN7" s="26"/>
      <c r="LO7" s="26"/>
      <c r="LP7" s="26"/>
      <c r="LQ7" s="26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6"/>
      <c r="MD7" s="26"/>
      <c r="ME7" s="26"/>
      <c r="MF7" s="26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3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3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</row>
    <row r="8" spans="1:434" x14ac:dyDescent="0.25">
      <c r="A8" s="24"/>
      <c r="B8" s="25" t="s">
        <v>69</v>
      </c>
      <c r="C8" s="24" t="s">
        <v>70</v>
      </c>
      <c r="D8" s="24" t="s">
        <v>67</v>
      </c>
      <c r="E8" s="24"/>
      <c r="F8" s="23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3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3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23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3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3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3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3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3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3"/>
      <c r="MT8" s="26"/>
      <c r="MU8" s="26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3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</row>
    <row r="9" spans="1:434" x14ac:dyDescent="0.25">
      <c r="A9" s="24"/>
      <c r="B9" s="25" t="s">
        <v>71</v>
      </c>
      <c r="C9" s="24" t="s">
        <v>70</v>
      </c>
      <c r="D9" s="24" t="s">
        <v>67</v>
      </c>
      <c r="E9" s="24"/>
      <c r="F9" s="23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3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3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23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3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3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3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3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3"/>
      <c r="LG9" s="26"/>
      <c r="LH9" s="26"/>
      <c r="LI9" s="26"/>
      <c r="LJ9" s="26"/>
      <c r="LK9" s="26"/>
      <c r="LL9" s="26"/>
      <c r="LM9" s="26"/>
      <c r="LN9" s="26"/>
      <c r="LO9" s="26"/>
      <c r="LP9" s="26"/>
      <c r="LQ9" s="26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6"/>
      <c r="MD9" s="26"/>
      <c r="ME9" s="26"/>
      <c r="MF9" s="26"/>
      <c r="MG9" s="26"/>
      <c r="MH9" s="26"/>
      <c r="MI9" s="26"/>
      <c r="MJ9" s="26"/>
      <c r="MK9" s="26"/>
      <c r="ML9" s="26"/>
      <c r="MM9" s="26"/>
      <c r="MN9" s="26"/>
      <c r="MO9" s="26"/>
      <c r="MP9" s="26"/>
      <c r="MQ9" s="26"/>
      <c r="MR9" s="26"/>
      <c r="MS9" s="23"/>
      <c r="MT9" s="26"/>
      <c r="MU9" s="26"/>
      <c r="MV9" s="26"/>
      <c r="MW9" s="26"/>
      <c r="MX9" s="26"/>
      <c r="MY9" s="26"/>
      <c r="MZ9" s="26"/>
      <c r="NA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3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</row>
    <row r="10" spans="1:434" ht="25.5" x14ac:dyDescent="0.25">
      <c r="A10" s="24"/>
      <c r="B10" s="25" t="s">
        <v>72</v>
      </c>
      <c r="C10" s="24" t="s">
        <v>70</v>
      </c>
      <c r="D10" s="24" t="s">
        <v>73</v>
      </c>
      <c r="E10" s="24"/>
      <c r="F10" s="23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3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3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23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3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3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3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3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3"/>
      <c r="LG10" s="26"/>
      <c r="LH10" s="26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3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3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</row>
    <row r="11" spans="1:434" x14ac:dyDescent="0.25">
      <c r="A11" s="24"/>
      <c r="B11" s="25" t="s">
        <v>74</v>
      </c>
      <c r="C11" s="24" t="s">
        <v>66</v>
      </c>
      <c r="D11" s="24" t="s">
        <v>67</v>
      </c>
      <c r="E11" s="24"/>
      <c r="F11" s="23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3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3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/>
      <c r="DL11" s="82"/>
      <c r="DM11" s="82"/>
      <c r="DN11" s="82"/>
      <c r="DO11" s="82"/>
      <c r="DP11" s="82"/>
      <c r="DQ11" s="82"/>
      <c r="DR11" s="82"/>
      <c r="DS11" s="23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3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3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3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3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3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3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3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</row>
    <row r="12" spans="1:434" x14ac:dyDescent="0.25">
      <c r="A12" s="24"/>
      <c r="B12" s="25" t="s">
        <v>75</v>
      </c>
      <c r="C12" s="24" t="s">
        <v>70</v>
      </c>
      <c r="D12" s="24" t="s">
        <v>76</v>
      </c>
      <c r="E12" s="24"/>
      <c r="F12" s="23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3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3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23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3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3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3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3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3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3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3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</row>
    <row r="13" spans="1:434" x14ac:dyDescent="0.25">
      <c r="A13" s="24"/>
      <c r="B13" s="25" t="s">
        <v>77</v>
      </c>
      <c r="C13" s="24" t="s">
        <v>66</v>
      </c>
      <c r="D13" s="24" t="s">
        <v>67</v>
      </c>
      <c r="E13" s="24"/>
      <c r="F13" s="23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3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3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23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3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3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3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3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3"/>
      <c r="LG13" s="26"/>
      <c r="LH13" s="26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3"/>
      <c r="MT13" s="26"/>
      <c r="MU13" s="26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3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</row>
    <row r="14" spans="1:434" x14ac:dyDescent="0.25">
      <c r="A14" s="24"/>
      <c r="B14" s="25" t="s">
        <v>78</v>
      </c>
      <c r="C14" s="24" t="s">
        <v>70</v>
      </c>
      <c r="D14" s="24" t="s">
        <v>76</v>
      </c>
      <c r="E14" s="24"/>
      <c r="F14" s="23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3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3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23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3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3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3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3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3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3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3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</row>
    <row r="15" spans="1:434" x14ac:dyDescent="0.25">
      <c r="A15" s="24"/>
      <c r="B15" s="25" t="s">
        <v>79</v>
      </c>
      <c r="C15" s="24" t="s">
        <v>70</v>
      </c>
      <c r="D15" s="24" t="s">
        <v>67</v>
      </c>
      <c r="E15" s="24"/>
      <c r="F15" s="23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3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3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23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3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3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3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3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3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3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3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</row>
    <row r="16" spans="1:434" x14ac:dyDescent="0.25">
      <c r="A16" s="24"/>
      <c r="B16" s="25" t="s">
        <v>80</v>
      </c>
      <c r="C16" s="24" t="s">
        <v>81</v>
      </c>
      <c r="D16" s="24" t="s">
        <v>76</v>
      </c>
      <c r="E16" s="24"/>
      <c r="F16" s="23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3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3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23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3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3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3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3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3"/>
      <c r="LG16" s="26"/>
      <c r="LH16" s="26"/>
      <c r="LI16" s="26"/>
      <c r="LJ16" s="26"/>
      <c r="LK16" s="26"/>
      <c r="LL16" s="26"/>
      <c r="LM16" s="26"/>
      <c r="LN16" s="26"/>
      <c r="LO16" s="26"/>
      <c r="LP16" s="26"/>
      <c r="LQ16" s="26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26"/>
      <c r="MD16" s="26"/>
      <c r="ME16" s="26"/>
      <c r="MF16" s="26"/>
      <c r="MG16" s="26"/>
      <c r="MH16" s="26"/>
      <c r="MI16" s="26"/>
      <c r="MJ16" s="26"/>
      <c r="MK16" s="26"/>
      <c r="ML16" s="26"/>
      <c r="MM16" s="26"/>
      <c r="MN16" s="26"/>
      <c r="MO16" s="26"/>
      <c r="MP16" s="26"/>
      <c r="MQ16" s="26"/>
      <c r="MR16" s="26"/>
      <c r="MS16" s="23"/>
      <c r="MT16" s="26"/>
      <c r="MU16" s="26"/>
      <c r="MV16" s="26"/>
      <c r="MW16" s="26"/>
      <c r="MX16" s="26"/>
      <c r="MY16" s="26"/>
      <c r="MZ16" s="26"/>
      <c r="NA16" s="26"/>
      <c r="NB16" s="26"/>
      <c r="NC16" s="26"/>
      <c r="ND16" s="26"/>
      <c r="NE16" s="26"/>
      <c r="NF16" s="26"/>
      <c r="NG16" s="26"/>
      <c r="NH16" s="26"/>
      <c r="NI16" s="26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3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</row>
    <row r="17" spans="1:434" ht="21.95" customHeight="1" x14ac:dyDescent="0.25">
      <c r="A17" s="87" t="s">
        <v>82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  <c r="FU17" s="88"/>
      <c r="FV17" s="88"/>
      <c r="FW17" s="88"/>
      <c r="FX17" s="88"/>
      <c r="FY17" s="88"/>
      <c r="FZ17" s="88"/>
      <c r="GA17" s="88"/>
      <c r="GB17" s="88"/>
      <c r="GC17" s="88"/>
      <c r="GD17" s="88"/>
      <c r="GE17" s="88"/>
      <c r="GF17" s="88"/>
      <c r="GG17" s="88"/>
      <c r="GH17" s="88"/>
      <c r="GI17" s="88"/>
      <c r="GJ17" s="88"/>
      <c r="GK17" s="88"/>
      <c r="GL17" s="88"/>
      <c r="GM17" s="88"/>
      <c r="GN17" s="88"/>
      <c r="GO17" s="88"/>
      <c r="GP17" s="88"/>
      <c r="GQ17" s="88"/>
      <c r="GR17" s="88"/>
      <c r="GS17" s="88"/>
      <c r="GT17" s="88"/>
      <c r="GU17" s="88"/>
      <c r="GV17" s="88"/>
      <c r="GW17" s="88"/>
      <c r="GX17" s="88"/>
      <c r="GY17" s="88"/>
      <c r="GZ17" s="88"/>
      <c r="HA17" s="88"/>
      <c r="HB17" s="88"/>
      <c r="HC17" s="88"/>
      <c r="HD17" s="8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88"/>
      <c r="HS17" s="88"/>
      <c r="HT17" s="88"/>
      <c r="HU17" s="88"/>
      <c r="HV17" s="88"/>
      <c r="HW17" s="88"/>
      <c r="HX17" s="88"/>
      <c r="HY17" s="88"/>
      <c r="HZ17" s="88"/>
      <c r="IA17" s="88"/>
      <c r="IB17" s="88"/>
      <c r="IC17" s="88"/>
      <c r="ID17" s="88"/>
      <c r="IE17" s="88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88"/>
      <c r="IS17" s="88"/>
      <c r="IT17" s="88"/>
      <c r="IU17" s="88"/>
      <c r="IV17" s="88"/>
      <c r="IW17" s="88"/>
      <c r="IX17" s="88"/>
      <c r="IY17" s="88"/>
      <c r="IZ17" s="88"/>
      <c r="JA17" s="88"/>
      <c r="JB17" s="88"/>
      <c r="JC17" s="88"/>
      <c r="JD17" s="88"/>
      <c r="JE17" s="88"/>
      <c r="JF17" s="88"/>
      <c r="JG17" s="88"/>
      <c r="JH17" s="88"/>
      <c r="JI17" s="88"/>
      <c r="JJ17" s="88"/>
      <c r="JK17" s="88"/>
      <c r="JL17" s="88"/>
      <c r="JM17" s="88"/>
      <c r="JN17" s="88"/>
      <c r="JO17" s="88"/>
      <c r="JP17" s="88"/>
      <c r="JQ17" s="88"/>
      <c r="JR17" s="88"/>
      <c r="JS17" s="88"/>
      <c r="JT17" s="88"/>
      <c r="JU17" s="88"/>
      <c r="JV17" s="88"/>
      <c r="JW17" s="88"/>
      <c r="JX17" s="88"/>
      <c r="JY17" s="88"/>
      <c r="JZ17" s="88"/>
      <c r="KA17" s="88"/>
      <c r="KB17" s="88"/>
      <c r="KC17" s="88"/>
      <c r="KD17" s="88"/>
      <c r="KE17" s="88"/>
      <c r="KF17" s="88"/>
      <c r="KG17" s="88"/>
      <c r="KH17" s="88"/>
      <c r="KI17" s="88"/>
      <c r="KJ17" s="88"/>
      <c r="KK17" s="88"/>
      <c r="KL17" s="88"/>
      <c r="KM17" s="88"/>
      <c r="KN17" s="88"/>
      <c r="KO17" s="88"/>
      <c r="KP17" s="88"/>
      <c r="KQ17" s="88"/>
      <c r="KR17" s="88"/>
      <c r="KS17" s="88"/>
      <c r="KT17" s="88"/>
      <c r="KU17" s="88"/>
      <c r="KV17" s="88"/>
      <c r="KW17" s="88"/>
      <c r="KX17" s="88"/>
      <c r="KY17" s="88"/>
      <c r="KZ17" s="88"/>
      <c r="LA17" s="88"/>
      <c r="LB17" s="88"/>
      <c r="LC17" s="88"/>
      <c r="LD17" s="88"/>
      <c r="LE17" s="88"/>
      <c r="LF17" s="88"/>
      <c r="LG17" s="88"/>
      <c r="LH17" s="88"/>
      <c r="LI17" s="88"/>
      <c r="LJ17" s="88"/>
      <c r="LK17" s="88"/>
      <c r="LL17" s="88"/>
      <c r="LM17" s="88"/>
      <c r="LN17" s="88"/>
      <c r="LO17" s="88"/>
      <c r="LP17" s="88"/>
      <c r="LQ17" s="88"/>
      <c r="LR17" s="88"/>
      <c r="LS17" s="88"/>
      <c r="LT17" s="88"/>
      <c r="LU17" s="88"/>
      <c r="LV17" s="88"/>
      <c r="LW17" s="88"/>
      <c r="LX17" s="88"/>
      <c r="LY17" s="88"/>
      <c r="LZ17" s="88"/>
      <c r="MA17" s="88"/>
      <c r="MB17" s="88"/>
      <c r="MC17" s="88"/>
      <c r="MD17" s="88"/>
      <c r="ME17" s="88"/>
      <c r="MF17" s="88"/>
      <c r="MG17" s="88"/>
      <c r="MH17" s="88"/>
      <c r="MI17" s="88"/>
      <c r="MJ17" s="88"/>
      <c r="MK17" s="88"/>
      <c r="ML17" s="88"/>
      <c r="MM17" s="88"/>
      <c r="MN17" s="88"/>
      <c r="MO17" s="88"/>
      <c r="MP17" s="88"/>
      <c r="MQ17" s="88"/>
      <c r="MR17" s="88"/>
      <c r="MS17" s="88"/>
      <c r="MT17" s="88"/>
      <c r="MU17" s="88"/>
      <c r="MV17" s="88"/>
      <c r="MW17" s="88"/>
      <c r="MX17" s="88"/>
      <c r="MY17" s="88"/>
      <c r="MZ17" s="88"/>
      <c r="NA17" s="88"/>
      <c r="NB17" s="88"/>
      <c r="NC17" s="88"/>
      <c r="ND17" s="88"/>
      <c r="NE17" s="88"/>
      <c r="NF17" s="88"/>
      <c r="NG17" s="88"/>
      <c r="NH17" s="88"/>
      <c r="NI17" s="88"/>
      <c r="NJ17" s="88"/>
      <c r="NK17" s="88"/>
      <c r="NL17" s="88"/>
      <c r="NM17" s="88"/>
      <c r="NN17" s="88"/>
      <c r="NO17" s="88"/>
      <c r="NP17" s="88"/>
      <c r="NQ17" s="88"/>
      <c r="NR17" s="88"/>
      <c r="NS17" s="88"/>
      <c r="NT17" s="88"/>
      <c r="NU17" s="88"/>
      <c r="NV17" s="88"/>
      <c r="NW17" s="88"/>
      <c r="NX17" s="88"/>
      <c r="NY17" s="88"/>
      <c r="NZ17" s="88"/>
      <c r="OA17" s="88"/>
      <c r="OB17" s="88"/>
      <c r="OC17" s="88"/>
      <c r="OD17" s="88"/>
      <c r="OE17" s="88"/>
      <c r="OF17" s="88"/>
      <c r="OG17" s="88"/>
      <c r="OH17" s="88"/>
      <c r="OI17" s="88"/>
      <c r="OJ17" s="88"/>
      <c r="OK17" s="88"/>
      <c r="OL17" s="88"/>
      <c r="OM17" s="88"/>
      <c r="ON17" s="88"/>
      <c r="OO17" s="88"/>
      <c r="OP17" s="88"/>
      <c r="OQ17" s="88"/>
      <c r="OR17" s="88"/>
      <c r="OS17" s="88"/>
      <c r="OT17" s="88"/>
      <c r="OU17" s="88"/>
      <c r="OV17" s="88"/>
      <c r="OW17" s="88"/>
      <c r="OX17" s="88"/>
      <c r="OY17" s="88"/>
      <c r="OZ17" s="88"/>
      <c r="PA17" s="88"/>
      <c r="PB17" s="88"/>
      <c r="PC17" s="88"/>
      <c r="PD17" s="88"/>
      <c r="PE17" s="88"/>
      <c r="PF17" s="88"/>
      <c r="PG17" s="88"/>
      <c r="PH17" s="88"/>
      <c r="PI17" s="88"/>
      <c r="PJ17" s="88"/>
      <c r="PK17" s="88"/>
      <c r="PL17" s="88"/>
      <c r="PM17" s="88"/>
      <c r="PN17" s="88"/>
      <c r="PO17" s="88"/>
      <c r="PP17" s="88"/>
      <c r="PQ17" s="88"/>
      <c r="PR17" s="89"/>
    </row>
    <row r="18" spans="1:434" ht="25.5" x14ac:dyDescent="0.25">
      <c r="A18" s="24"/>
      <c r="B18" s="25" t="s">
        <v>83</v>
      </c>
      <c r="C18" s="24" t="s">
        <v>70</v>
      </c>
      <c r="D18" s="24" t="s">
        <v>73</v>
      </c>
      <c r="E18" s="24"/>
      <c r="F18" s="23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3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3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23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3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3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3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3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3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3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3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</row>
    <row r="19" spans="1:434" x14ac:dyDescent="0.25">
      <c r="A19" s="24"/>
      <c r="B19" s="25" t="s">
        <v>84</v>
      </c>
      <c r="C19" s="24" t="s">
        <v>70</v>
      </c>
      <c r="D19" s="24" t="s">
        <v>76</v>
      </c>
      <c r="E19" s="24"/>
      <c r="F19" s="23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3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3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23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3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3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3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3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3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3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3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</row>
    <row r="20" spans="1:434" x14ac:dyDescent="0.25">
      <c r="A20" s="24"/>
      <c r="B20" s="25" t="s">
        <v>85</v>
      </c>
      <c r="C20" s="24" t="s">
        <v>70</v>
      </c>
      <c r="D20" s="24" t="s">
        <v>76</v>
      </c>
      <c r="E20" s="24"/>
      <c r="F20" s="23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3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3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23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3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3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3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3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3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3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3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</row>
    <row r="21" spans="1:434" x14ac:dyDescent="0.25">
      <c r="A21" s="24"/>
      <c r="B21" s="25" t="s">
        <v>86</v>
      </c>
      <c r="C21" s="24" t="s">
        <v>70</v>
      </c>
      <c r="D21" s="24" t="s">
        <v>76</v>
      </c>
      <c r="E21" s="24"/>
      <c r="F21" s="23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3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3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23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3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3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3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3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3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3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3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</row>
    <row r="22" spans="1:434" x14ac:dyDescent="0.25">
      <c r="A22" s="24"/>
      <c r="B22" s="25" t="s">
        <v>87</v>
      </c>
      <c r="C22" s="24" t="s">
        <v>70</v>
      </c>
      <c r="D22" s="24" t="s">
        <v>76</v>
      </c>
      <c r="E22" s="24"/>
      <c r="F22" s="23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3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3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23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3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3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3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3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3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3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3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</row>
    <row r="23" spans="1:434" x14ac:dyDescent="0.25">
      <c r="A23" s="24"/>
      <c r="B23" s="25" t="s">
        <v>88</v>
      </c>
      <c r="C23" s="24" t="s">
        <v>70</v>
      </c>
      <c r="D23" s="24" t="s">
        <v>76</v>
      </c>
      <c r="E23" s="24"/>
      <c r="F23" s="23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3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3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23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3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3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3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3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3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3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3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</row>
    <row r="24" spans="1:434" x14ac:dyDescent="0.25">
      <c r="A24" s="24"/>
      <c r="B24" s="25" t="s">
        <v>89</v>
      </c>
      <c r="C24" s="24" t="s">
        <v>70</v>
      </c>
      <c r="D24" s="24" t="s">
        <v>76</v>
      </c>
      <c r="E24" s="24"/>
      <c r="F24" s="23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3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3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23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3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3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3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3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3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3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3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</row>
    <row r="25" spans="1:434" x14ac:dyDescent="0.25">
      <c r="A25" s="24"/>
      <c r="B25" s="25" t="s">
        <v>90</v>
      </c>
      <c r="C25" s="24" t="s">
        <v>70</v>
      </c>
      <c r="D25" s="24" t="s">
        <v>76</v>
      </c>
      <c r="E25" s="24"/>
      <c r="F25" s="23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3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3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23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3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3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3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3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3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3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3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</row>
    <row r="26" spans="1:434" ht="25.5" x14ac:dyDescent="0.25">
      <c r="A26" s="24"/>
      <c r="B26" s="25" t="s">
        <v>91</v>
      </c>
      <c r="C26" s="24" t="s">
        <v>66</v>
      </c>
      <c r="D26" s="24" t="s">
        <v>73</v>
      </c>
      <c r="E26" s="24"/>
      <c r="F26" s="23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3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3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23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3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3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3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3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3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3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3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</row>
    <row r="27" spans="1:434" x14ac:dyDescent="0.25">
      <c r="A27" s="24"/>
      <c r="B27" s="25" t="s">
        <v>92</v>
      </c>
      <c r="C27" s="24" t="s">
        <v>66</v>
      </c>
      <c r="D27" s="24" t="s">
        <v>67</v>
      </c>
      <c r="E27" s="24"/>
      <c r="F27" s="2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3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3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23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3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3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3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3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3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3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3"/>
      <c r="OG27" s="26"/>
      <c r="OH27" s="26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</row>
    <row r="28" spans="1:434" x14ac:dyDescent="0.25">
      <c r="A28" s="24"/>
      <c r="B28" s="25" t="s">
        <v>93</v>
      </c>
      <c r="C28" s="24" t="s">
        <v>66</v>
      </c>
      <c r="D28" s="24" t="s">
        <v>67</v>
      </c>
      <c r="E28" s="24"/>
      <c r="F28" s="23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3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3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23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3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3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3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3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  <c r="KY28" s="26"/>
      <c r="KZ28" s="26"/>
      <c r="LA28" s="26"/>
      <c r="LB28" s="26"/>
      <c r="LC28" s="26"/>
      <c r="LD28" s="26"/>
      <c r="LE28" s="26"/>
      <c r="LF28" s="23"/>
      <c r="LG28" s="26"/>
      <c r="LH28" s="26"/>
      <c r="LI28" s="26"/>
      <c r="LJ28" s="26"/>
      <c r="LK28" s="26"/>
      <c r="LL28" s="26"/>
      <c r="LM28" s="26"/>
      <c r="LN28" s="26"/>
      <c r="LO28" s="26"/>
      <c r="LP28" s="26"/>
      <c r="LQ28" s="26"/>
      <c r="LR28" s="26"/>
      <c r="LS28" s="26"/>
      <c r="LT28" s="26"/>
      <c r="LU28" s="26"/>
      <c r="LV28" s="26"/>
      <c r="LW28" s="26"/>
      <c r="LX28" s="26"/>
      <c r="LY28" s="26"/>
      <c r="LZ28" s="26"/>
      <c r="MA28" s="26"/>
      <c r="MB28" s="26"/>
      <c r="MC28" s="26"/>
      <c r="MD28" s="26"/>
      <c r="ME28" s="26"/>
      <c r="MF28" s="26"/>
      <c r="MG28" s="26"/>
      <c r="MH28" s="26"/>
      <c r="MI28" s="26"/>
      <c r="MJ28" s="26"/>
      <c r="MK28" s="26"/>
      <c r="ML28" s="26"/>
      <c r="MM28" s="26"/>
      <c r="MN28" s="26"/>
      <c r="MO28" s="26"/>
      <c r="MP28" s="26"/>
      <c r="MQ28" s="26"/>
      <c r="MR28" s="26"/>
      <c r="MS28" s="23"/>
      <c r="MT28" s="26"/>
      <c r="MU28" s="26"/>
      <c r="MV28" s="26"/>
      <c r="MW28" s="26"/>
      <c r="MX28" s="26"/>
      <c r="MY28" s="26"/>
      <c r="MZ28" s="26"/>
      <c r="NA28" s="26"/>
      <c r="NB28" s="26"/>
      <c r="NC28" s="26"/>
      <c r="ND28" s="26"/>
      <c r="NE28" s="26"/>
      <c r="NF28" s="26"/>
      <c r="NG28" s="26"/>
      <c r="NH28" s="26"/>
      <c r="NI28" s="26"/>
      <c r="NJ28" s="26"/>
      <c r="NK28" s="26"/>
      <c r="NL28" s="26"/>
      <c r="NM28" s="26"/>
      <c r="NN28" s="26"/>
      <c r="NO28" s="26"/>
      <c r="NP28" s="26"/>
      <c r="NQ28" s="26"/>
      <c r="NR28" s="26"/>
      <c r="NS28" s="26"/>
      <c r="NT28" s="26"/>
      <c r="NU28" s="26"/>
      <c r="NV28" s="26"/>
      <c r="NW28" s="26"/>
      <c r="NX28" s="26"/>
      <c r="NY28" s="26"/>
      <c r="NZ28" s="26"/>
      <c r="OA28" s="26"/>
      <c r="OB28" s="26"/>
      <c r="OC28" s="26"/>
      <c r="OD28" s="26"/>
      <c r="OE28" s="26"/>
      <c r="OF28" s="23"/>
      <c r="OG28" s="26"/>
      <c r="OH28" s="26"/>
      <c r="OI28" s="26"/>
      <c r="OJ28" s="26"/>
      <c r="OK28" s="26"/>
      <c r="OL28" s="26"/>
      <c r="OM28" s="26"/>
      <c r="ON28" s="26"/>
      <c r="OO28" s="26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6"/>
      <c r="PB28" s="26"/>
      <c r="PC28" s="26"/>
      <c r="PD28" s="26"/>
      <c r="PE28" s="26"/>
      <c r="PF28" s="26"/>
      <c r="PG28" s="26"/>
      <c r="PH28" s="26"/>
      <c r="PI28" s="26"/>
      <c r="PJ28" s="26"/>
      <c r="PK28" s="26"/>
      <c r="PL28" s="26"/>
      <c r="PM28" s="26"/>
      <c r="PN28" s="26"/>
      <c r="PO28" s="26"/>
      <c r="PP28" s="26"/>
      <c r="PQ28" s="26"/>
      <c r="PR28" s="26"/>
    </row>
    <row r="29" spans="1:434" x14ac:dyDescent="0.25">
      <c r="A29" s="24"/>
      <c r="B29" s="25" t="s">
        <v>94</v>
      </c>
      <c r="C29" s="24" t="s">
        <v>70</v>
      </c>
      <c r="D29" s="24" t="s">
        <v>76</v>
      </c>
      <c r="E29" s="24"/>
      <c r="F29" s="23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3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3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23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3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3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3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3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3"/>
      <c r="LG29" s="26"/>
      <c r="LH29" s="26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3"/>
      <c r="MT29" s="26"/>
      <c r="MU29" s="26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3"/>
      <c r="OG29" s="26"/>
      <c r="OH29" s="26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</row>
    <row r="30" spans="1:434" x14ac:dyDescent="0.25">
      <c r="A30" s="24"/>
      <c r="B30" s="25" t="s">
        <v>95</v>
      </c>
      <c r="C30" s="24" t="s">
        <v>70</v>
      </c>
      <c r="D30" s="24" t="s">
        <v>67</v>
      </c>
      <c r="E30" s="24"/>
      <c r="F30" s="23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3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3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23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3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3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3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3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3"/>
      <c r="LG30" s="26"/>
      <c r="LH30" s="26"/>
      <c r="LI30" s="26"/>
      <c r="LJ30" s="26"/>
      <c r="LK30" s="26"/>
      <c r="LL30" s="26"/>
      <c r="LM30" s="26"/>
      <c r="LN30" s="26"/>
      <c r="LO30" s="26"/>
      <c r="LP30" s="26"/>
      <c r="LQ30" s="26"/>
      <c r="LR30" s="26"/>
      <c r="LS30" s="26"/>
      <c r="LT30" s="26"/>
      <c r="LU30" s="26"/>
      <c r="LV30" s="26"/>
      <c r="LW30" s="26"/>
      <c r="LX30" s="26"/>
      <c r="LY30" s="26"/>
      <c r="LZ30" s="26"/>
      <c r="MA30" s="26"/>
      <c r="MB30" s="26"/>
      <c r="MC30" s="26"/>
      <c r="MD30" s="26"/>
      <c r="ME30" s="26"/>
      <c r="MF30" s="26"/>
      <c r="MG30" s="26"/>
      <c r="MH30" s="26"/>
      <c r="MI30" s="26"/>
      <c r="MJ30" s="26"/>
      <c r="MK30" s="26"/>
      <c r="ML30" s="26"/>
      <c r="MM30" s="26"/>
      <c r="MN30" s="26"/>
      <c r="MO30" s="26"/>
      <c r="MP30" s="26"/>
      <c r="MQ30" s="26"/>
      <c r="MR30" s="26"/>
      <c r="MS30" s="23"/>
      <c r="MT30" s="26"/>
      <c r="MU30" s="26"/>
      <c r="MV30" s="26"/>
      <c r="MW30" s="26"/>
      <c r="MX30" s="26"/>
      <c r="MY30" s="26"/>
      <c r="MZ30" s="26"/>
      <c r="NA30" s="26"/>
      <c r="NB30" s="26"/>
      <c r="NC30" s="26"/>
      <c r="ND30" s="26"/>
      <c r="NE30" s="26"/>
      <c r="NF30" s="26"/>
      <c r="NG30" s="26"/>
      <c r="NH30" s="26"/>
      <c r="NI30" s="26"/>
      <c r="NJ30" s="26"/>
      <c r="NK30" s="26"/>
      <c r="NL30" s="26"/>
      <c r="NM30" s="26"/>
      <c r="NN30" s="26"/>
      <c r="NO30" s="26"/>
      <c r="NP30" s="26"/>
      <c r="NQ30" s="26"/>
      <c r="NR30" s="26"/>
      <c r="NS30" s="26"/>
      <c r="NT30" s="26"/>
      <c r="NU30" s="26"/>
      <c r="NV30" s="26"/>
      <c r="NW30" s="26"/>
      <c r="NX30" s="26"/>
      <c r="NY30" s="26"/>
      <c r="NZ30" s="26"/>
      <c r="OA30" s="26"/>
      <c r="OB30" s="26"/>
      <c r="OC30" s="26"/>
      <c r="OD30" s="26"/>
      <c r="OE30" s="26"/>
      <c r="OF30" s="23"/>
      <c r="OG30" s="26"/>
      <c r="OH30" s="26"/>
      <c r="OI30" s="26"/>
      <c r="OJ30" s="26"/>
      <c r="OK30" s="26"/>
      <c r="OL30" s="26"/>
      <c r="OM30" s="26"/>
      <c r="ON30" s="26"/>
      <c r="OO30" s="26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6"/>
      <c r="PB30" s="26"/>
      <c r="PC30" s="26"/>
      <c r="PD30" s="26"/>
      <c r="PE30" s="26"/>
      <c r="PF30" s="26"/>
      <c r="PG30" s="26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</row>
    <row r="31" spans="1:434" x14ac:dyDescent="0.25">
      <c r="A31" s="24"/>
      <c r="B31" s="25" t="s">
        <v>96</v>
      </c>
      <c r="C31" s="24" t="s">
        <v>70</v>
      </c>
      <c r="D31" s="24" t="s">
        <v>67</v>
      </c>
      <c r="E31" s="24"/>
      <c r="F31" s="23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3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3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23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3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3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3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3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  <c r="KY31" s="26"/>
      <c r="KZ31" s="26"/>
      <c r="LA31" s="26"/>
      <c r="LB31" s="26"/>
      <c r="LC31" s="26"/>
      <c r="LD31" s="26"/>
      <c r="LE31" s="26"/>
      <c r="LF31" s="23"/>
      <c r="LG31" s="26"/>
      <c r="LH31" s="26"/>
      <c r="LI31" s="26"/>
      <c r="LJ31" s="26"/>
      <c r="LK31" s="26"/>
      <c r="LL31" s="26"/>
      <c r="LM31" s="26"/>
      <c r="LN31" s="26"/>
      <c r="LO31" s="26"/>
      <c r="LP31" s="26"/>
      <c r="LQ31" s="26"/>
      <c r="LR31" s="26"/>
      <c r="LS31" s="26"/>
      <c r="LT31" s="26"/>
      <c r="LU31" s="26"/>
      <c r="LV31" s="26"/>
      <c r="LW31" s="26"/>
      <c r="LX31" s="26"/>
      <c r="LY31" s="26"/>
      <c r="LZ31" s="26"/>
      <c r="MA31" s="26"/>
      <c r="MB31" s="26"/>
      <c r="MC31" s="26"/>
      <c r="MD31" s="26"/>
      <c r="ME31" s="26"/>
      <c r="MF31" s="26"/>
      <c r="MG31" s="26"/>
      <c r="MH31" s="26"/>
      <c r="MI31" s="26"/>
      <c r="MJ31" s="26"/>
      <c r="MK31" s="26"/>
      <c r="ML31" s="26"/>
      <c r="MM31" s="26"/>
      <c r="MN31" s="26"/>
      <c r="MO31" s="26"/>
      <c r="MP31" s="26"/>
      <c r="MQ31" s="26"/>
      <c r="MR31" s="26"/>
      <c r="MS31" s="23"/>
      <c r="MT31" s="26"/>
      <c r="MU31" s="26"/>
      <c r="MV31" s="26"/>
      <c r="MW31" s="26"/>
      <c r="MX31" s="26"/>
      <c r="MY31" s="26"/>
      <c r="MZ31" s="26"/>
      <c r="NA31" s="26"/>
      <c r="NB31" s="26"/>
      <c r="NC31" s="26"/>
      <c r="ND31" s="26"/>
      <c r="NE31" s="26"/>
      <c r="NF31" s="26"/>
      <c r="NG31" s="26"/>
      <c r="NH31" s="26"/>
      <c r="NI31" s="26"/>
      <c r="NJ31" s="26"/>
      <c r="NK31" s="26"/>
      <c r="NL31" s="26"/>
      <c r="NM31" s="26"/>
      <c r="NN31" s="26"/>
      <c r="NO31" s="26"/>
      <c r="NP31" s="26"/>
      <c r="NQ31" s="26"/>
      <c r="NR31" s="26"/>
      <c r="NS31" s="26"/>
      <c r="NT31" s="26"/>
      <c r="NU31" s="26"/>
      <c r="NV31" s="26"/>
      <c r="NW31" s="26"/>
      <c r="NX31" s="26"/>
      <c r="NY31" s="26"/>
      <c r="NZ31" s="26"/>
      <c r="OA31" s="26"/>
      <c r="OB31" s="26"/>
      <c r="OC31" s="26"/>
      <c r="OD31" s="26"/>
      <c r="OE31" s="26"/>
      <c r="OF31" s="23"/>
      <c r="OG31" s="26"/>
      <c r="OH31" s="26"/>
      <c r="OI31" s="26"/>
      <c r="OJ31" s="26"/>
      <c r="OK31" s="26"/>
      <c r="OL31" s="26"/>
      <c r="OM31" s="26"/>
      <c r="ON31" s="26"/>
      <c r="OO31" s="26"/>
      <c r="OP31" s="26"/>
      <c r="OQ31" s="26"/>
      <c r="OR31" s="26"/>
      <c r="OS31" s="26"/>
      <c r="OT31" s="26"/>
      <c r="OU31" s="26"/>
      <c r="OV31" s="26"/>
      <c r="OW31" s="26"/>
      <c r="OX31" s="26"/>
      <c r="OY31" s="26"/>
      <c r="OZ31" s="26"/>
      <c r="PA31" s="26"/>
      <c r="PB31" s="26"/>
      <c r="PC31" s="26"/>
      <c r="PD31" s="26"/>
      <c r="PE31" s="26"/>
      <c r="PF31" s="26"/>
      <c r="PG31" s="26"/>
      <c r="PH31" s="26"/>
      <c r="PI31" s="26"/>
      <c r="PJ31" s="26"/>
      <c r="PK31" s="26"/>
      <c r="PL31" s="26"/>
      <c r="PM31" s="26"/>
      <c r="PN31" s="26"/>
      <c r="PO31" s="26"/>
      <c r="PP31" s="26"/>
      <c r="PQ31" s="26"/>
      <c r="PR31" s="26"/>
    </row>
    <row r="32" spans="1:434" x14ac:dyDescent="0.25">
      <c r="A32" s="24"/>
      <c r="B32" s="25" t="s">
        <v>97</v>
      </c>
      <c r="C32" s="24" t="s">
        <v>66</v>
      </c>
      <c r="D32" s="24" t="s">
        <v>76</v>
      </c>
      <c r="E32" s="24"/>
      <c r="F32" s="23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3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3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23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3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3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3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3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  <c r="KY32" s="26"/>
      <c r="KZ32" s="26"/>
      <c r="LA32" s="26"/>
      <c r="LB32" s="26"/>
      <c r="LC32" s="26"/>
      <c r="LD32" s="26"/>
      <c r="LE32" s="26"/>
      <c r="LF32" s="23"/>
      <c r="LG32" s="26"/>
      <c r="LH32" s="26"/>
      <c r="LI32" s="26"/>
      <c r="LJ32" s="26"/>
      <c r="LK32" s="26"/>
      <c r="LL32" s="26"/>
      <c r="LM32" s="26"/>
      <c r="LN32" s="26"/>
      <c r="LO32" s="26"/>
      <c r="LP32" s="26"/>
      <c r="LQ32" s="26"/>
      <c r="LR32" s="26"/>
      <c r="LS32" s="26"/>
      <c r="LT32" s="26"/>
      <c r="LU32" s="26"/>
      <c r="LV32" s="26"/>
      <c r="LW32" s="26"/>
      <c r="LX32" s="26"/>
      <c r="LY32" s="26"/>
      <c r="LZ32" s="26"/>
      <c r="MA32" s="26"/>
      <c r="MB32" s="26"/>
      <c r="MC32" s="26"/>
      <c r="MD32" s="26"/>
      <c r="ME32" s="26"/>
      <c r="MF32" s="26"/>
      <c r="MG32" s="26"/>
      <c r="MH32" s="26"/>
      <c r="MI32" s="26"/>
      <c r="MJ32" s="26"/>
      <c r="MK32" s="26"/>
      <c r="ML32" s="26"/>
      <c r="MM32" s="26"/>
      <c r="MN32" s="26"/>
      <c r="MO32" s="26"/>
      <c r="MP32" s="26"/>
      <c r="MQ32" s="26"/>
      <c r="MR32" s="26"/>
      <c r="MS32" s="23"/>
      <c r="MT32" s="26"/>
      <c r="MU32" s="26"/>
      <c r="MV32" s="26"/>
      <c r="MW32" s="26"/>
      <c r="MX32" s="26"/>
      <c r="MY32" s="26"/>
      <c r="MZ32" s="26"/>
      <c r="NA32" s="26"/>
      <c r="NB32" s="26"/>
      <c r="NC32" s="26"/>
      <c r="ND32" s="26"/>
      <c r="NE32" s="26"/>
      <c r="NF32" s="26"/>
      <c r="NG32" s="26"/>
      <c r="NH32" s="26"/>
      <c r="NI32" s="26"/>
      <c r="NJ32" s="26"/>
      <c r="NK32" s="26"/>
      <c r="NL32" s="26"/>
      <c r="NM32" s="26"/>
      <c r="NN32" s="26"/>
      <c r="NO32" s="26"/>
      <c r="NP32" s="26"/>
      <c r="NQ32" s="26"/>
      <c r="NR32" s="26"/>
      <c r="NS32" s="26"/>
      <c r="NT32" s="26"/>
      <c r="NU32" s="26"/>
      <c r="NV32" s="26"/>
      <c r="NW32" s="26"/>
      <c r="NX32" s="26"/>
      <c r="NY32" s="26"/>
      <c r="NZ32" s="26"/>
      <c r="OA32" s="26"/>
      <c r="OB32" s="26"/>
      <c r="OC32" s="26"/>
      <c r="OD32" s="26"/>
      <c r="OE32" s="26"/>
      <c r="OF32" s="23"/>
      <c r="OG32" s="26"/>
      <c r="OH32" s="26"/>
      <c r="OI32" s="26"/>
      <c r="OJ32" s="26"/>
      <c r="OK32" s="26"/>
      <c r="OL32" s="26"/>
      <c r="OM32" s="26"/>
      <c r="ON32" s="26"/>
      <c r="OO32" s="26"/>
      <c r="OP32" s="26"/>
      <c r="OQ32" s="26"/>
      <c r="OR32" s="26"/>
      <c r="OS32" s="26"/>
      <c r="OT32" s="26"/>
      <c r="OU32" s="26"/>
      <c r="OV32" s="26"/>
      <c r="OW32" s="26"/>
      <c r="OX32" s="26"/>
      <c r="OY32" s="26"/>
      <c r="OZ32" s="26"/>
      <c r="PA32" s="26"/>
      <c r="PB32" s="26"/>
      <c r="PC32" s="26"/>
      <c r="PD32" s="26"/>
      <c r="PE32" s="26"/>
      <c r="PF32" s="26"/>
      <c r="PG32" s="26"/>
      <c r="PH32" s="26"/>
      <c r="PI32" s="26"/>
      <c r="PJ32" s="26"/>
      <c r="PK32" s="26"/>
      <c r="PL32" s="26"/>
      <c r="PM32" s="26"/>
      <c r="PN32" s="26"/>
      <c r="PO32" s="26"/>
      <c r="PP32" s="26"/>
      <c r="PQ32" s="26"/>
      <c r="PR32" s="26"/>
    </row>
    <row r="33" spans="1:434" x14ac:dyDescent="0.25">
      <c r="A33" s="24"/>
      <c r="B33" s="25" t="s">
        <v>98</v>
      </c>
      <c r="C33" s="24" t="s">
        <v>66</v>
      </c>
      <c r="D33" s="24" t="s">
        <v>76</v>
      </c>
      <c r="E33" s="24"/>
      <c r="F33" s="23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3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3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23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3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3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3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3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6"/>
      <c r="KV33" s="26"/>
      <c r="KW33" s="26"/>
      <c r="KX33" s="26"/>
      <c r="KY33" s="26"/>
      <c r="KZ33" s="26"/>
      <c r="LA33" s="26"/>
      <c r="LB33" s="26"/>
      <c r="LC33" s="26"/>
      <c r="LD33" s="26"/>
      <c r="LE33" s="26"/>
      <c r="LF33" s="23"/>
      <c r="LG33" s="26"/>
      <c r="LH33" s="26"/>
      <c r="LI33" s="26"/>
      <c r="LJ33" s="26"/>
      <c r="LK33" s="26"/>
      <c r="LL33" s="26"/>
      <c r="LM33" s="26"/>
      <c r="LN33" s="26"/>
      <c r="LO33" s="26"/>
      <c r="LP33" s="26"/>
      <c r="LQ33" s="26"/>
      <c r="LR33" s="26"/>
      <c r="LS33" s="26"/>
      <c r="LT33" s="26"/>
      <c r="LU33" s="26"/>
      <c r="LV33" s="26"/>
      <c r="LW33" s="26"/>
      <c r="LX33" s="26"/>
      <c r="LY33" s="26"/>
      <c r="LZ33" s="26"/>
      <c r="MA33" s="26"/>
      <c r="MB33" s="26"/>
      <c r="MC33" s="26"/>
      <c r="MD33" s="26"/>
      <c r="ME33" s="26"/>
      <c r="MF33" s="26"/>
      <c r="MG33" s="26"/>
      <c r="MH33" s="26"/>
      <c r="MI33" s="26"/>
      <c r="MJ33" s="26"/>
      <c r="MK33" s="26"/>
      <c r="ML33" s="26"/>
      <c r="MM33" s="26"/>
      <c r="MN33" s="26"/>
      <c r="MO33" s="26"/>
      <c r="MP33" s="26"/>
      <c r="MQ33" s="26"/>
      <c r="MR33" s="26"/>
      <c r="MS33" s="23"/>
      <c r="MT33" s="26"/>
      <c r="MU33" s="26"/>
      <c r="MV33" s="26"/>
      <c r="MW33" s="26"/>
      <c r="MX33" s="26"/>
      <c r="MY33" s="26"/>
      <c r="MZ33" s="26"/>
      <c r="NA33" s="26"/>
      <c r="NB33" s="26"/>
      <c r="NC33" s="26"/>
      <c r="ND33" s="26"/>
      <c r="NE33" s="26"/>
      <c r="NF33" s="26"/>
      <c r="NG33" s="26"/>
      <c r="NH33" s="26"/>
      <c r="NI33" s="26"/>
      <c r="NJ33" s="26"/>
      <c r="NK33" s="26"/>
      <c r="NL33" s="26"/>
      <c r="NM33" s="26"/>
      <c r="NN33" s="26"/>
      <c r="NO33" s="26"/>
      <c r="NP33" s="26"/>
      <c r="NQ33" s="26"/>
      <c r="NR33" s="26"/>
      <c r="NS33" s="26"/>
      <c r="NT33" s="26"/>
      <c r="NU33" s="26"/>
      <c r="NV33" s="26"/>
      <c r="NW33" s="26"/>
      <c r="NX33" s="26"/>
      <c r="NY33" s="26"/>
      <c r="NZ33" s="26"/>
      <c r="OA33" s="26"/>
      <c r="OB33" s="26"/>
      <c r="OC33" s="26"/>
      <c r="OD33" s="26"/>
      <c r="OE33" s="26"/>
      <c r="OF33" s="23"/>
      <c r="OG33" s="26"/>
      <c r="OH33" s="26"/>
      <c r="OI33" s="26"/>
      <c r="OJ33" s="26"/>
      <c r="OK33" s="26"/>
      <c r="OL33" s="26"/>
      <c r="OM33" s="26"/>
      <c r="ON33" s="26"/>
      <c r="OO33" s="26"/>
      <c r="OP33" s="26"/>
      <c r="OQ33" s="26"/>
      <c r="OR33" s="26"/>
      <c r="OS33" s="26"/>
      <c r="OT33" s="26"/>
      <c r="OU33" s="26"/>
      <c r="OV33" s="26"/>
      <c r="OW33" s="26"/>
      <c r="OX33" s="26"/>
      <c r="OY33" s="26"/>
      <c r="OZ33" s="26"/>
      <c r="PA33" s="26"/>
      <c r="PB33" s="26"/>
      <c r="PC33" s="26"/>
      <c r="PD33" s="26"/>
      <c r="PE33" s="26"/>
      <c r="PF33" s="26"/>
      <c r="PG33" s="26"/>
      <c r="PH33" s="26"/>
      <c r="PI33" s="26"/>
      <c r="PJ33" s="26"/>
      <c r="PK33" s="26"/>
      <c r="PL33" s="26"/>
      <c r="PM33" s="26"/>
      <c r="PN33" s="26"/>
      <c r="PO33" s="26"/>
      <c r="PP33" s="26"/>
      <c r="PQ33" s="26"/>
      <c r="PR33" s="26"/>
    </row>
    <row r="34" spans="1:434" x14ac:dyDescent="0.25">
      <c r="A34" s="24"/>
      <c r="B34" s="25" t="s">
        <v>99</v>
      </c>
      <c r="C34" s="24" t="s">
        <v>66</v>
      </c>
      <c r="D34" s="24" t="s">
        <v>76</v>
      </c>
      <c r="E34" s="24"/>
      <c r="F34" s="23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3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3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23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3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3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3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3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3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3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3"/>
      <c r="OG34" s="26"/>
      <c r="OH34" s="26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</row>
    <row r="35" spans="1:434" x14ac:dyDescent="0.25">
      <c r="A35" s="24"/>
      <c r="B35" s="25" t="s">
        <v>100</v>
      </c>
      <c r="C35" s="24" t="s">
        <v>70</v>
      </c>
      <c r="D35" s="24" t="s">
        <v>67</v>
      </c>
      <c r="E35" s="24"/>
      <c r="F35" s="23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3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3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23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3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3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3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3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3"/>
      <c r="LG35" s="26"/>
      <c r="LH35" s="26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3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3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</row>
    <row r="36" spans="1:434" x14ac:dyDescent="0.25">
      <c r="A36" s="24"/>
      <c r="B36" s="25" t="s">
        <v>101</v>
      </c>
      <c r="C36" s="24" t="s">
        <v>66</v>
      </c>
      <c r="D36" s="24" t="s">
        <v>76</v>
      </c>
      <c r="E36" s="24"/>
      <c r="F36" s="23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3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3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23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3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3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3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3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  <c r="KY36" s="26"/>
      <c r="KZ36" s="26"/>
      <c r="LA36" s="26"/>
      <c r="LB36" s="26"/>
      <c r="LC36" s="26"/>
      <c r="LD36" s="26"/>
      <c r="LE36" s="26"/>
      <c r="LF36" s="23"/>
      <c r="LG36" s="26"/>
      <c r="LH36" s="26"/>
      <c r="LI36" s="26"/>
      <c r="LJ36" s="26"/>
      <c r="LK36" s="26"/>
      <c r="LL36" s="26"/>
      <c r="LM36" s="26"/>
      <c r="LN36" s="26"/>
      <c r="LO36" s="26"/>
      <c r="LP36" s="26"/>
      <c r="LQ36" s="26"/>
      <c r="LR36" s="26"/>
      <c r="LS36" s="26"/>
      <c r="LT36" s="26"/>
      <c r="LU36" s="26"/>
      <c r="LV36" s="26"/>
      <c r="LW36" s="26"/>
      <c r="LX36" s="26"/>
      <c r="LY36" s="26"/>
      <c r="LZ36" s="26"/>
      <c r="MA36" s="26"/>
      <c r="MB36" s="26"/>
      <c r="MC36" s="26"/>
      <c r="MD36" s="26"/>
      <c r="ME36" s="26"/>
      <c r="MF36" s="26"/>
      <c r="MG36" s="26"/>
      <c r="MH36" s="26"/>
      <c r="MI36" s="26"/>
      <c r="MJ36" s="26"/>
      <c r="MK36" s="26"/>
      <c r="ML36" s="26"/>
      <c r="MM36" s="26"/>
      <c r="MN36" s="26"/>
      <c r="MO36" s="26"/>
      <c r="MP36" s="26"/>
      <c r="MQ36" s="26"/>
      <c r="MR36" s="26"/>
      <c r="MS36" s="23"/>
      <c r="MT36" s="26"/>
      <c r="MU36" s="26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3"/>
      <c r="OG36" s="26"/>
      <c r="OH36" s="26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</row>
    <row r="37" spans="1:434" x14ac:dyDescent="0.25">
      <c r="A37" s="24"/>
      <c r="B37" s="25" t="s">
        <v>102</v>
      </c>
      <c r="C37" s="24" t="s">
        <v>70</v>
      </c>
      <c r="D37" s="24" t="s">
        <v>67</v>
      </c>
      <c r="E37" s="24"/>
      <c r="F37" s="23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3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3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23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3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3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3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3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  <c r="KY37" s="26"/>
      <c r="KZ37" s="26"/>
      <c r="LA37" s="26"/>
      <c r="LB37" s="26"/>
      <c r="LC37" s="26"/>
      <c r="LD37" s="26"/>
      <c r="LE37" s="26"/>
      <c r="LF37" s="23"/>
      <c r="LG37" s="26"/>
      <c r="LH37" s="26"/>
      <c r="LI37" s="26"/>
      <c r="LJ37" s="26"/>
      <c r="LK37" s="26"/>
      <c r="LL37" s="26"/>
      <c r="LM37" s="26"/>
      <c r="LN37" s="26"/>
      <c r="LO37" s="26"/>
      <c r="LP37" s="26"/>
      <c r="LQ37" s="26"/>
      <c r="LR37" s="26"/>
      <c r="LS37" s="26"/>
      <c r="LT37" s="26"/>
      <c r="LU37" s="26"/>
      <c r="LV37" s="26"/>
      <c r="LW37" s="26"/>
      <c r="LX37" s="26"/>
      <c r="LY37" s="26"/>
      <c r="LZ37" s="26"/>
      <c r="MA37" s="26"/>
      <c r="MB37" s="26"/>
      <c r="MC37" s="26"/>
      <c r="MD37" s="26"/>
      <c r="ME37" s="26"/>
      <c r="MF37" s="26"/>
      <c r="MG37" s="26"/>
      <c r="MH37" s="26"/>
      <c r="MI37" s="26"/>
      <c r="MJ37" s="26"/>
      <c r="MK37" s="26"/>
      <c r="ML37" s="26"/>
      <c r="MM37" s="26"/>
      <c r="MN37" s="26"/>
      <c r="MO37" s="26"/>
      <c r="MP37" s="26"/>
      <c r="MQ37" s="26"/>
      <c r="MR37" s="26"/>
      <c r="MS37" s="23"/>
      <c r="MT37" s="26"/>
      <c r="MU37" s="26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3"/>
      <c r="OG37" s="26"/>
      <c r="OH37" s="26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</row>
    <row r="38" spans="1:434" x14ac:dyDescent="0.25">
      <c r="A38" s="24"/>
      <c r="B38" s="25" t="s">
        <v>103</v>
      </c>
      <c r="C38" s="24" t="s">
        <v>70</v>
      </c>
      <c r="D38" s="24" t="s">
        <v>104</v>
      </c>
      <c r="E38" s="24"/>
      <c r="F38" s="23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3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3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23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3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3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3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3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  <c r="KT38" s="26"/>
      <c r="KU38" s="26"/>
      <c r="KV38" s="26"/>
      <c r="KW38" s="26"/>
      <c r="KX38" s="26"/>
      <c r="KY38" s="26"/>
      <c r="KZ38" s="26"/>
      <c r="LA38" s="26"/>
      <c r="LB38" s="26"/>
      <c r="LC38" s="26"/>
      <c r="LD38" s="26"/>
      <c r="LE38" s="26"/>
      <c r="LF38" s="23"/>
      <c r="LG38" s="26"/>
      <c r="LH38" s="26"/>
      <c r="LI38" s="26"/>
      <c r="LJ38" s="26"/>
      <c r="LK38" s="26"/>
      <c r="LL38" s="26"/>
      <c r="LM38" s="26"/>
      <c r="LN38" s="26"/>
      <c r="LO38" s="26"/>
      <c r="LP38" s="26"/>
      <c r="LQ38" s="26"/>
      <c r="LR38" s="26"/>
      <c r="LS38" s="26"/>
      <c r="LT38" s="26"/>
      <c r="LU38" s="26"/>
      <c r="LV38" s="26"/>
      <c r="LW38" s="26"/>
      <c r="LX38" s="26"/>
      <c r="LY38" s="26"/>
      <c r="LZ38" s="26"/>
      <c r="MA38" s="26"/>
      <c r="MB38" s="26"/>
      <c r="MC38" s="26"/>
      <c r="MD38" s="26"/>
      <c r="ME38" s="26"/>
      <c r="MF38" s="26"/>
      <c r="MG38" s="26"/>
      <c r="MH38" s="26"/>
      <c r="MI38" s="26"/>
      <c r="MJ38" s="26"/>
      <c r="MK38" s="26"/>
      <c r="ML38" s="26"/>
      <c r="MM38" s="26"/>
      <c r="MN38" s="26"/>
      <c r="MO38" s="26"/>
      <c r="MP38" s="26"/>
      <c r="MQ38" s="26"/>
      <c r="MR38" s="26"/>
      <c r="MS38" s="23"/>
      <c r="MT38" s="26"/>
      <c r="MU38" s="26"/>
      <c r="MV38" s="26"/>
      <c r="MW38" s="26"/>
      <c r="MX38" s="26"/>
      <c r="MY38" s="26"/>
      <c r="MZ38" s="26"/>
      <c r="NA38" s="26"/>
      <c r="NB38" s="26"/>
      <c r="NC38" s="26"/>
      <c r="ND38" s="26"/>
      <c r="NE38" s="26"/>
      <c r="NF38" s="26"/>
      <c r="NG38" s="26"/>
      <c r="NH38" s="26"/>
      <c r="NI38" s="26"/>
      <c r="NJ38" s="26"/>
      <c r="NK38" s="26"/>
      <c r="NL38" s="26"/>
      <c r="NM38" s="26"/>
      <c r="NN38" s="26"/>
      <c r="NO38" s="26"/>
      <c r="NP38" s="26"/>
      <c r="NQ38" s="26"/>
      <c r="NR38" s="26"/>
      <c r="NS38" s="26"/>
      <c r="NT38" s="26"/>
      <c r="NU38" s="26"/>
      <c r="NV38" s="26"/>
      <c r="NW38" s="26"/>
      <c r="NX38" s="26"/>
      <c r="NY38" s="26"/>
      <c r="NZ38" s="26"/>
      <c r="OA38" s="26"/>
      <c r="OB38" s="26"/>
      <c r="OC38" s="26"/>
      <c r="OD38" s="26"/>
      <c r="OE38" s="26"/>
      <c r="OF38" s="23"/>
      <c r="OG38" s="26"/>
      <c r="OH38" s="26"/>
      <c r="OI38" s="26"/>
      <c r="OJ38" s="26"/>
      <c r="OK38" s="26"/>
      <c r="OL38" s="26"/>
      <c r="OM38" s="26"/>
      <c r="ON38" s="26"/>
      <c r="OO38" s="26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6"/>
      <c r="PB38" s="26"/>
      <c r="PC38" s="26"/>
      <c r="PD38" s="26"/>
      <c r="PE38" s="26"/>
      <c r="PF38" s="26"/>
      <c r="PG38" s="26"/>
      <c r="PH38" s="26"/>
      <c r="PI38" s="26"/>
      <c r="PJ38" s="26"/>
      <c r="PK38" s="26"/>
      <c r="PL38" s="26"/>
      <c r="PM38" s="26"/>
      <c r="PN38" s="26"/>
      <c r="PO38" s="26"/>
      <c r="PP38" s="26"/>
      <c r="PQ38" s="26"/>
      <c r="PR38" s="26"/>
    </row>
    <row r="39" spans="1:434" x14ac:dyDescent="0.25">
      <c r="A39" s="24"/>
      <c r="B39" s="25" t="s">
        <v>105</v>
      </c>
      <c r="C39" s="24" t="s">
        <v>70</v>
      </c>
      <c r="D39" s="24" t="s">
        <v>76</v>
      </c>
      <c r="E39" s="24"/>
      <c r="F39" s="23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3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3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23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3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3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3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3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3"/>
      <c r="LG39" s="26"/>
      <c r="LH39" s="26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3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3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</row>
    <row r="40" spans="1:434" x14ac:dyDescent="0.25">
      <c r="A40" s="24"/>
      <c r="B40" s="25" t="s">
        <v>106</v>
      </c>
      <c r="C40" s="24" t="s">
        <v>70</v>
      </c>
      <c r="D40" s="24" t="s">
        <v>76</v>
      </c>
      <c r="E40" s="24"/>
      <c r="F40" s="23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3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3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23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3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3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3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3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3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3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3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</row>
    <row r="41" spans="1:434" x14ac:dyDescent="0.25">
      <c r="A41" s="24"/>
      <c r="B41" s="25" t="s">
        <v>107</v>
      </c>
      <c r="C41" s="24" t="s">
        <v>70</v>
      </c>
      <c r="D41" s="24" t="s">
        <v>76</v>
      </c>
      <c r="E41" s="24"/>
      <c r="F41" s="23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3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3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23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3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3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3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3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3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3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3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</row>
    <row r="42" spans="1:434" x14ac:dyDescent="0.25">
      <c r="A42" s="24"/>
      <c r="B42" s="25" t="s">
        <v>108</v>
      </c>
      <c r="C42" s="24" t="s">
        <v>70</v>
      </c>
      <c r="D42" s="24" t="s">
        <v>76</v>
      </c>
      <c r="E42" s="24"/>
      <c r="F42" s="23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3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3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23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3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3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3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3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3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3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3"/>
      <c r="OG42" s="26"/>
      <c r="OH42" s="26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</row>
    <row r="43" spans="1:434" x14ac:dyDescent="0.25">
      <c r="A43" s="24"/>
      <c r="B43" s="25" t="s">
        <v>109</v>
      </c>
      <c r="C43" s="24" t="s">
        <v>70</v>
      </c>
      <c r="D43" s="24" t="s">
        <v>76</v>
      </c>
      <c r="E43" s="24"/>
      <c r="F43" s="23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3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3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23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3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3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3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3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3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3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3"/>
      <c r="OG43" s="26"/>
      <c r="OH43" s="26"/>
      <c r="OI43" s="26"/>
      <c r="OJ43" s="26"/>
      <c r="OK43" s="26"/>
      <c r="OL43" s="26"/>
      <c r="OM43" s="26"/>
      <c r="ON43" s="26"/>
      <c r="OO43" s="26"/>
      <c r="OP43" s="26"/>
      <c r="OQ43" s="26"/>
      <c r="OR43" s="26"/>
      <c r="OS43" s="26"/>
      <c r="OT43" s="26"/>
      <c r="OU43" s="26"/>
      <c r="OV43" s="26"/>
      <c r="OW43" s="26"/>
      <c r="OX43" s="26"/>
      <c r="OY43" s="26"/>
      <c r="OZ43" s="26"/>
      <c r="PA43" s="26"/>
      <c r="PB43" s="26"/>
      <c r="PC43" s="26"/>
      <c r="PD43" s="26"/>
      <c r="PE43" s="26"/>
      <c r="PF43" s="26"/>
      <c r="PG43" s="26"/>
      <c r="PH43" s="26"/>
      <c r="PI43" s="26"/>
      <c r="PJ43" s="26"/>
      <c r="PK43" s="26"/>
      <c r="PL43" s="26"/>
      <c r="PM43" s="26"/>
      <c r="PN43" s="26"/>
      <c r="PO43" s="26"/>
      <c r="PP43" s="26"/>
      <c r="PQ43" s="26"/>
      <c r="PR43" s="26"/>
    </row>
    <row r="44" spans="1:434" x14ac:dyDescent="0.25">
      <c r="A44" s="24"/>
      <c r="B44" s="25" t="s">
        <v>110</v>
      </c>
      <c r="C44" s="24" t="s">
        <v>70</v>
      </c>
      <c r="D44" s="24" t="s">
        <v>76</v>
      </c>
      <c r="E44" s="24"/>
      <c r="F44" s="23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3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3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23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3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3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3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3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3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3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3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</row>
    <row r="45" spans="1:434" x14ac:dyDescent="0.25">
      <c r="A45" s="24"/>
      <c r="B45" s="25" t="s">
        <v>111</v>
      </c>
      <c r="C45" s="24" t="s">
        <v>70</v>
      </c>
      <c r="D45" s="24" t="s">
        <v>76</v>
      </c>
      <c r="E45" s="24"/>
      <c r="F45" s="23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3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3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23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3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3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3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3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3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3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3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</row>
    <row r="46" spans="1:434" x14ac:dyDescent="0.25">
      <c r="A46" s="24"/>
      <c r="B46" s="25" t="s">
        <v>112</v>
      </c>
      <c r="C46" s="24" t="s">
        <v>70</v>
      </c>
      <c r="D46" s="24" t="s">
        <v>104</v>
      </c>
      <c r="E46" s="24"/>
      <c r="F46" s="23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3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3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23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3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3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3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3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3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3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3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</row>
    <row r="47" spans="1:434" ht="21.95" customHeight="1" x14ac:dyDescent="0.25">
      <c r="A47" s="87" t="s">
        <v>113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  <c r="FU47" s="88"/>
      <c r="FV47" s="88"/>
      <c r="FW47" s="88"/>
      <c r="FX47" s="88"/>
      <c r="FY47" s="88"/>
      <c r="FZ47" s="88"/>
      <c r="GA47" s="88"/>
      <c r="GB47" s="88"/>
      <c r="GC47" s="88"/>
      <c r="GD47" s="88"/>
      <c r="GE47" s="88"/>
      <c r="GF47" s="88"/>
      <c r="GG47" s="88"/>
      <c r="GH47" s="88"/>
      <c r="GI47" s="88"/>
      <c r="GJ47" s="88"/>
      <c r="GK47" s="88"/>
      <c r="GL47" s="88"/>
      <c r="GM47" s="88"/>
      <c r="GN47" s="88"/>
      <c r="GO47" s="88"/>
      <c r="GP47" s="88"/>
      <c r="GQ47" s="88"/>
      <c r="GR47" s="88"/>
      <c r="GS47" s="88"/>
      <c r="GT47" s="88"/>
      <c r="GU47" s="88"/>
      <c r="GV47" s="88"/>
      <c r="GW47" s="88"/>
      <c r="GX47" s="88"/>
      <c r="GY47" s="88"/>
      <c r="GZ47" s="88"/>
      <c r="HA47" s="88"/>
      <c r="HB47" s="88"/>
      <c r="HC47" s="88"/>
      <c r="HD47" s="88"/>
      <c r="HE47" s="88"/>
      <c r="HF47" s="88"/>
      <c r="HG47" s="88"/>
      <c r="HH47" s="88"/>
      <c r="HI47" s="88"/>
      <c r="HJ47" s="88"/>
      <c r="HK47" s="88"/>
      <c r="HL47" s="88"/>
      <c r="HM47" s="88"/>
      <c r="HN47" s="88"/>
      <c r="HO47" s="88"/>
      <c r="HP47" s="88"/>
      <c r="HQ47" s="88"/>
      <c r="HR47" s="88"/>
      <c r="HS47" s="88"/>
      <c r="HT47" s="88"/>
      <c r="HU47" s="88"/>
      <c r="HV47" s="88"/>
      <c r="HW47" s="88"/>
      <c r="HX47" s="88"/>
      <c r="HY47" s="88"/>
      <c r="HZ47" s="88"/>
      <c r="IA47" s="88"/>
      <c r="IB47" s="88"/>
      <c r="IC47" s="88"/>
      <c r="ID47" s="88"/>
      <c r="IE47" s="88"/>
      <c r="IF47" s="88"/>
      <c r="IG47" s="88"/>
      <c r="IH47" s="88"/>
      <c r="II47" s="88"/>
      <c r="IJ47" s="88"/>
      <c r="IK47" s="88"/>
      <c r="IL47" s="88"/>
      <c r="IM47" s="88"/>
      <c r="IN47" s="88"/>
      <c r="IO47" s="88"/>
      <c r="IP47" s="88"/>
      <c r="IQ47" s="88"/>
      <c r="IR47" s="88"/>
      <c r="IS47" s="88"/>
      <c r="IT47" s="88"/>
      <c r="IU47" s="88"/>
      <c r="IV47" s="88"/>
      <c r="IW47" s="88"/>
      <c r="IX47" s="88"/>
      <c r="IY47" s="88"/>
      <c r="IZ47" s="88"/>
      <c r="JA47" s="88"/>
      <c r="JB47" s="88"/>
      <c r="JC47" s="88"/>
      <c r="JD47" s="88"/>
      <c r="JE47" s="88"/>
      <c r="JF47" s="88"/>
      <c r="JG47" s="88"/>
      <c r="JH47" s="88"/>
      <c r="JI47" s="88"/>
      <c r="JJ47" s="88"/>
      <c r="JK47" s="88"/>
      <c r="JL47" s="88"/>
      <c r="JM47" s="88"/>
      <c r="JN47" s="88"/>
      <c r="JO47" s="88"/>
      <c r="JP47" s="88"/>
      <c r="JQ47" s="88"/>
      <c r="JR47" s="88"/>
      <c r="JS47" s="88"/>
      <c r="JT47" s="88"/>
      <c r="JU47" s="88"/>
      <c r="JV47" s="88"/>
      <c r="JW47" s="88"/>
      <c r="JX47" s="88"/>
      <c r="JY47" s="88"/>
      <c r="JZ47" s="88"/>
      <c r="KA47" s="88"/>
      <c r="KB47" s="88"/>
      <c r="KC47" s="88"/>
      <c r="KD47" s="88"/>
      <c r="KE47" s="88"/>
      <c r="KF47" s="88"/>
      <c r="KG47" s="88"/>
      <c r="KH47" s="88"/>
      <c r="KI47" s="88"/>
      <c r="KJ47" s="88"/>
      <c r="KK47" s="88"/>
      <c r="KL47" s="88"/>
      <c r="KM47" s="88"/>
      <c r="KN47" s="88"/>
      <c r="KO47" s="88"/>
      <c r="KP47" s="88"/>
      <c r="KQ47" s="88"/>
      <c r="KR47" s="88"/>
      <c r="KS47" s="88"/>
      <c r="KT47" s="88"/>
      <c r="KU47" s="88"/>
      <c r="KV47" s="88"/>
      <c r="KW47" s="88"/>
      <c r="KX47" s="88"/>
      <c r="KY47" s="88"/>
      <c r="KZ47" s="88"/>
      <c r="LA47" s="88"/>
      <c r="LB47" s="88"/>
      <c r="LC47" s="88"/>
      <c r="LD47" s="88"/>
      <c r="LE47" s="88"/>
      <c r="LF47" s="88"/>
      <c r="LG47" s="88"/>
      <c r="LH47" s="88"/>
      <c r="LI47" s="88"/>
      <c r="LJ47" s="88"/>
      <c r="LK47" s="88"/>
      <c r="LL47" s="88"/>
      <c r="LM47" s="88"/>
      <c r="LN47" s="88"/>
      <c r="LO47" s="88"/>
      <c r="LP47" s="88"/>
      <c r="LQ47" s="88"/>
      <c r="LR47" s="88"/>
      <c r="LS47" s="88"/>
      <c r="LT47" s="88"/>
      <c r="LU47" s="88"/>
      <c r="LV47" s="88"/>
      <c r="LW47" s="88"/>
      <c r="LX47" s="88"/>
      <c r="LY47" s="88"/>
      <c r="LZ47" s="88"/>
      <c r="MA47" s="88"/>
      <c r="MB47" s="88"/>
      <c r="MC47" s="88"/>
      <c r="MD47" s="88"/>
      <c r="ME47" s="88"/>
      <c r="MF47" s="88"/>
      <c r="MG47" s="88"/>
      <c r="MH47" s="88"/>
      <c r="MI47" s="88"/>
      <c r="MJ47" s="88"/>
      <c r="MK47" s="88"/>
      <c r="ML47" s="88"/>
      <c r="MM47" s="88"/>
      <c r="MN47" s="88"/>
      <c r="MO47" s="88"/>
      <c r="MP47" s="88"/>
      <c r="MQ47" s="88"/>
      <c r="MR47" s="88"/>
      <c r="MS47" s="88"/>
      <c r="MT47" s="88"/>
      <c r="MU47" s="88"/>
      <c r="MV47" s="88"/>
      <c r="MW47" s="88"/>
      <c r="MX47" s="88"/>
      <c r="MY47" s="88"/>
      <c r="MZ47" s="88"/>
      <c r="NA47" s="88"/>
      <c r="NB47" s="88"/>
      <c r="NC47" s="88"/>
      <c r="ND47" s="88"/>
      <c r="NE47" s="88"/>
      <c r="NF47" s="88"/>
      <c r="NG47" s="88"/>
      <c r="NH47" s="88"/>
      <c r="NI47" s="88"/>
      <c r="NJ47" s="88"/>
      <c r="NK47" s="88"/>
      <c r="NL47" s="88"/>
      <c r="NM47" s="88"/>
      <c r="NN47" s="88"/>
      <c r="NO47" s="88"/>
      <c r="NP47" s="88"/>
      <c r="NQ47" s="88"/>
      <c r="NR47" s="88"/>
      <c r="NS47" s="88"/>
      <c r="NT47" s="88"/>
      <c r="NU47" s="88"/>
      <c r="NV47" s="88"/>
      <c r="NW47" s="88"/>
      <c r="NX47" s="88"/>
      <c r="NY47" s="88"/>
      <c r="NZ47" s="88"/>
      <c r="OA47" s="88"/>
      <c r="OB47" s="88"/>
      <c r="OC47" s="88"/>
      <c r="OD47" s="88"/>
      <c r="OE47" s="88"/>
      <c r="OF47" s="88"/>
      <c r="OG47" s="88"/>
      <c r="OH47" s="88"/>
      <c r="OI47" s="88"/>
      <c r="OJ47" s="88"/>
      <c r="OK47" s="88"/>
      <c r="OL47" s="88"/>
      <c r="OM47" s="88"/>
      <c r="ON47" s="88"/>
      <c r="OO47" s="88"/>
      <c r="OP47" s="88"/>
      <c r="OQ47" s="88"/>
      <c r="OR47" s="88"/>
      <c r="OS47" s="88"/>
      <c r="OT47" s="88"/>
      <c r="OU47" s="88"/>
      <c r="OV47" s="88"/>
      <c r="OW47" s="88"/>
      <c r="OX47" s="88"/>
      <c r="OY47" s="88"/>
      <c r="OZ47" s="88"/>
      <c r="PA47" s="88"/>
      <c r="PB47" s="88"/>
      <c r="PC47" s="88"/>
      <c r="PD47" s="88"/>
      <c r="PE47" s="88"/>
      <c r="PF47" s="88"/>
      <c r="PG47" s="88"/>
      <c r="PH47" s="88"/>
      <c r="PI47" s="88"/>
      <c r="PJ47" s="88"/>
      <c r="PK47" s="88"/>
      <c r="PL47" s="88"/>
      <c r="PM47" s="88"/>
      <c r="PN47" s="88"/>
      <c r="PO47" s="88"/>
      <c r="PP47" s="88"/>
      <c r="PQ47" s="88"/>
      <c r="PR47" s="89"/>
    </row>
    <row r="48" spans="1:434" ht="25.5" x14ac:dyDescent="0.25">
      <c r="A48" s="24"/>
      <c r="B48" s="25" t="s">
        <v>114</v>
      </c>
      <c r="C48" s="24" t="s">
        <v>66</v>
      </c>
      <c r="D48" s="24" t="s">
        <v>73</v>
      </c>
      <c r="E48" s="24"/>
      <c r="F48" s="23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3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3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23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3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3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3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3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3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3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3"/>
      <c r="OG48" s="26"/>
      <c r="OH48" s="26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</row>
    <row r="49" spans="1:434" x14ac:dyDescent="0.25">
      <c r="A49" s="24"/>
      <c r="B49" s="25" t="s">
        <v>115</v>
      </c>
      <c r="C49" s="24" t="s">
        <v>70</v>
      </c>
      <c r="D49" s="24" t="s">
        <v>76</v>
      </c>
      <c r="E49" s="24"/>
      <c r="F49" s="23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3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3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23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3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3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3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3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3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3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3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</row>
    <row r="50" spans="1:434" x14ac:dyDescent="0.25">
      <c r="A50" s="24"/>
      <c r="B50" s="25" t="s">
        <v>116</v>
      </c>
      <c r="C50" s="24" t="s">
        <v>66</v>
      </c>
      <c r="D50" s="24" t="s">
        <v>76</v>
      </c>
      <c r="E50" s="24"/>
      <c r="F50" s="23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3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3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23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3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3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3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3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3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3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3"/>
      <c r="OG50" s="26"/>
      <c r="OH50" s="26"/>
      <c r="OI50" s="26"/>
      <c r="OJ50" s="26"/>
      <c r="OK50" s="26"/>
      <c r="OL50" s="26"/>
      <c r="OM50" s="26"/>
      <c r="ON50" s="26"/>
      <c r="OO50" s="26"/>
      <c r="OP50" s="26"/>
      <c r="OQ50" s="26"/>
      <c r="OR50" s="26"/>
      <c r="OS50" s="26"/>
      <c r="OT50" s="26"/>
      <c r="OU50" s="26"/>
      <c r="OV50" s="26"/>
      <c r="OW50" s="26"/>
      <c r="OX50" s="26"/>
      <c r="OY50" s="26"/>
      <c r="OZ50" s="26"/>
      <c r="PA50" s="26"/>
      <c r="PB50" s="26"/>
      <c r="PC50" s="26"/>
      <c r="PD50" s="26"/>
      <c r="PE50" s="26"/>
      <c r="PF50" s="26"/>
      <c r="PG50" s="26"/>
      <c r="PH50" s="26"/>
      <c r="PI50" s="26"/>
      <c r="PJ50" s="26"/>
      <c r="PK50" s="26"/>
      <c r="PL50" s="26"/>
      <c r="PM50" s="26"/>
      <c r="PN50" s="26"/>
      <c r="PO50" s="26"/>
      <c r="PP50" s="26"/>
      <c r="PQ50" s="26"/>
      <c r="PR50" s="26"/>
    </row>
    <row r="51" spans="1:434" x14ac:dyDescent="0.25">
      <c r="A51" s="24"/>
      <c r="B51" s="25" t="s">
        <v>117</v>
      </c>
      <c r="C51" s="24" t="s">
        <v>70</v>
      </c>
      <c r="D51" s="24" t="s">
        <v>76</v>
      </c>
      <c r="E51" s="24"/>
      <c r="F51" s="23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3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3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23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3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3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3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3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3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3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3"/>
      <c r="OG51" s="26"/>
      <c r="OH51" s="26"/>
      <c r="OI51" s="26"/>
      <c r="OJ51" s="26"/>
      <c r="OK51" s="26"/>
      <c r="OL51" s="26"/>
      <c r="OM51" s="26"/>
      <c r="ON51" s="26"/>
      <c r="OO51" s="26"/>
      <c r="OP51" s="26"/>
      <c r="OQ51" s="26"/>
      <c r="OR51" s="26"/>
      <c r="OS51" s="26"/>
      <c r="OT51" s="26"/>
      <c r="OU51" s="26"/>
      <c r="OV51" s="26"/>
      <c r="OW51" s="26"/>
      <c r="OX51" s="26"/>
      <c r="OY51" s="26"/>
      <c r="OZ51" s="26"/>
      <c r="PA51" s="26"/>
      <c r="PB51" s="26"/>
      <c r="PC51" s="26"/>
      <c r="PD51" s="26"/>
      <c r="PE51" s="26"/>
      <c r="PF51" s="26"/>
      <c r="PG51" s="26"/>
      <c r="PH51" s="26"/>
      <c r="PI51" s="26"/>
      <c r="PJ51" s="26"/>
      <c r="PK51" s="26"/>
      <c r="PL51" s="26"/>
      <c r="PM51" s="26"/>
      <c r="PN51" s="26"/>
      <c r="PO51" s="26"/>
      <c r="PP51" s="26"/>
      <c r="PQ51" s="26"/>
      <c r="PR51" s="26"/>
    </row>
    <row r="52" spans="1:434" x14ac:dyDescent="0.25">
      <c r="A52" s="24"/>
      <c r="B52" s="25" t="s">
        <v>118</v>
      </c>
      <c r="C52" s="24" t="s">
        <v>66</v>
      </c>
      <c r="D52" s="24" t="s">
        <v>76</v>
      </c>
      <c r="E52" s="24"/>
      <c r="F52" s="23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3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3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23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3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3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3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3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3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3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3"/>
      <c r="OG52" s="26"/>
      <c r="OH52" s="26"/>
      <c r="OI52" s="26"/>
      <c r="OJ52" s="26"/>
      <c r="OK52" s="26"/>
      <c r="OL52" s="26"/>
      <c r="OM52" s="26"/>
      <c r="ON52" s="26"/>
      <c r="OO52" s="26"/>
      <c r="OP52" s="26"/>
      <c r="OQ52" s="26"/>
      <c r="OR52" s="26"/>
      <c r="OS52" s="26"/>
      <c r="OT52" s="26"/>
      <c r="OU52" s="26"/>
      <c r="OV52" s="26"/>
      <c r="OW52" s="26"/>
      <c r="OX52" s="26"/>
      <c r="OY52" s="26"/>
      <c r="OZ52" s="26"/>
      <c r="PA52" s="26"/>
      <c r="PB52" s="26"/>
      <c r="PC52" s="26"/>
      <c r="PD52" s="26"/>
      <c r="PE52" s="26"/>
      <c r="PF52" s="26"/>
      <c r="PG52" s="26"/>
      <c r="PH52" s="26"/>
      <c r="PI52" s="26"/>
      <c r="PJ52" s="26"/>
      <c r="PK52" s="26"/>
      <c r="PL52" s="26"/>
      <c r="PM52" s="26"/>
      <c r="PN52" s="26"/>
      <c r="PO52" s="26"/>
      <c r="PP52" s="26"/>
      <c r="PQ52" s="26"/>
      <c r="PR52" s="26"/>
    </row>
    <row r="53" spans="1:434" ht="25.5" x14ac:dyDescent="0.25">
      <c r="A53" s="24"/>
      <c r="B53" s="25" t="s">
        <v>119</v>
      </c>
      <c r="C53" s="24" t="s">
        <v>70</v>
      </c>
      <c r="D53" s="24" t="s">
        <v>73</v>
      </c>
      <c r="E53" s="24"/>
      <c r="F53" s="23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3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3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23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3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3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3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3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3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3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3"/>
      <c r="OG53" s="26"/>
      <c r="OH53" s="26"/>
      <c r="OI53" s="26"/>
      <c r="OJ53" s="26"/>
      <c r="OK53" s="26"/>
      <c r="OL53" s="26"/>
      <c r="OM53" s="26"/>
      <c r="ON53" s="26"/>
      <c r="OO53" s="26"/>
      <c r="OP53" s="26"/>
      <c r="OQ53" s="26"/>
      <c r="OR53" s="26"/>
      <c r="OS53" s="26"/>
      <c r="OT53" s="26"/>
      <c r="OU53" s="26"/>
      <c r="OV53" s="26"/>
      <c r="OW53" s="26"/>
      <c r="OX53" s="26"/>
      <c r="OY53" s="26"/>
      <c r="OZ53" s="26"/>
      <c r="PA53" s="26"/>
      <c r="PB53" s="26"/>
      <c r="PC53" s="26"/>
      <c r="PD53" s="26"/>
      <c r="PE53" s="26"/>
      <c r="PF53" s="26"/>
      <c r="PG53" s="26"/>
      <c r="PH53" s="26"/>
      <c r="PI53" s="26"/>
      <c r="PJ53" s="26"/>
      <c r="PK53" s="26"/>
      <c r="PL53" s="26"/>
      <c r="PM53" s="26"/>
      <c r="PN53" s="26"/>
      <c r="PO53" s="26"/>
      <c r="PP53" s="26"/>
      <c r="PQ53" s="26"/>
      <c r="PR53" s="26"/>
    </row>
    <row r="54" spans="1:434" x14ac:dyDescent="0.25">
      <c r="A54" s="24"/>
      <c r="B54" s="25" t="s">
        <v>120</v>
      </c>
      <c r="C54" s="24" t="s">
        <v>66</v>
      </c>
      <c r="D54" s="24" t="s">
        <v>67</v>
      </c>
      <c r="E54" s="24"/>
      <c r="F54" s="23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3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3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23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3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3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3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3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3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3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3"/>
      <c r="OG54" s="26"/>
      <c r="OH54" s="26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</row>
    <row r="55" spans="1:434" x14ac:dyDescent="0.25">
      <c r="A55" s="24"/>
      <c r="B55" s="25" t="s">
        <v>121</v>
      </c>
      <c r="C55" s="24" t="s">
        <v>66</v>
      </c>
      <c r="D55" s="24" t="s">
        <v>76</v>
      </c>
      <c r="E55" s="24"/>
      <c r="F55" s="23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3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3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23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3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3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3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3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6"/>
      <c r="KR55" s="26"/>
      <c r="KS55" s="26"/>
      <c r="KT55" s="26"/>
      <c r="KU55" s="26"/>
      <c r="KV55" s="26"/>
      <c r="KW55" s="26"/>
      <c r="KX55" s="26"/>
      <c r="KY55" s="26"/>
      <c r="KZ55" s="26"/>
      <c r="LA55" s="26"/>
      <c r="LB55" s="26"/>
      <c r="LC55" s="26"/>
      <c r="LD55" s="26"/>
      <c r="LE55" s="26"/>
      <c r="LF55" s="23"/>
      <c r="LG55" s="26"/>
      <c r="LH55" s="26"/>
      <c r="LI55" s="26"/>
      <c r="LJ55" s="26"/>
      <c r="LK55" s="26"/>
      <c r="LL55" s="26"/>
      <c r="LM55" s="26"/>
      <c r="LN55" s="26"/>
      <c r="LO55" s="26"/>
      <c r="LP55" s="26"/>
      <c r="LQ55" s="26"/>
      <c r="LR55" s="26"/>
      <c r="LS55" s="26"/>
      <c r="LT55" s="26"/>
      <c r="LU55" s="26"/>
      <c r="LV55" s="26"/>
      <c r="LW55" s="26"/>
      <c r="LX55" s="26"/>
      <c r="LY55" s="26"/>
      <c r="LZ55" s="26"/>
      <c r="MA55" s="26"/>
      <c r="MB55" s="26"/>
      <c r="MC55" s="26"/>
      <c r="MD55" s="26"/>
      <c r="ME55" s="26"/>
      <c r="MF55" s="26"/>
      <c r="MG55" s="26"/>
      <c r="MH55" s="26"/>
      <c r="MI55" s="26"/>
      <c r="MJ55" s="26"/>
      <c r="MK55" s="26"/>
      <c r="ML55" s="26"/>
      <c r="MM55" s="26"/>
      <c r="MN55" s="26"/>
      <c r="MO55" s="26"/>
      <c r="MP55" s="26"/>
      <c r="MQ55" s="26"/>
      <c r="MR55" s="26"/>
      <c r="MS55" s="23"/>
      <c r="MT55" s="26"/>
      <c r="MU55" s="26"/>
      <c r="MV55" s="26"/>
      <c r="MW55" s="26"/>
      <c r="MX55" s="26"/>
      <c r="MY55" s="26"/>
      <c r="MZ55" s="26"/>
      <c r="NA55" s="26"/>
      <c r="NB55" s="26"/>
      <c r="NC55" s="26"/>
      <c r="ND55" s="26"/>
      <c r="NE55" s="26"/>
      <c r="NF55" s="26"/>
      <c r="NG55" s="26"/>
      <c r="NH55" s="26"/>
      <c r="NI55" s="26"/>
      <c r="NJ55" s="26"/>
      <c r="NK55" s="26"/>
      <c r="NL55" s="26"/>
      <c r="NM55" s="26"/>
      <c r="NN55" s="26"/>
      <c r="NO55" s="26"/>
      <c r="NP55" s="26"/>
      <c r="NQ55" s="26"/>
      <c r="NR55" s="26"/>
      <c r="NS55" s="26"/>
      <c r="NT55" s="26"/>
      <c r="NU55" s="26"/>
      <c r="NV55" s="26"/>
      <c r="NW55" s="26"/>
      <c r="NX55" s="26"/>
      <c r="NY55" s="26"/>
      <c r="NZ55" s="26"/>
      <c r="OA55" s="26"/>
      <c r="OB55" s="26"/>
      <c r="OC55" s="26"/>
      <c r="OD55" s="26"/>
      <c r="OE55" s="26"/>
      <c r="OF55" s="23"/>
      <c r="OG55" s="26"/>
      <c r="OH55" s="26"/>
      <c r="OI55" s="26"/>
      <c r="OJ55" s="26"/>
      <c r="OK55" s="26"/>
      <c r="OL55" s="26"/>
      <c r="OM55" s="26"/>
      <c r="ON55" s="26"/>
      <c r="OO55" s="26"/>
      <c r="OP55" s="26"/>
      <c r="OQ55" s="26"/>
      <c r="OR55" s="26"/>
      <c r="OS55" s="26"/>
      <c r="OT55" s="26"/>
      <c r="OU55" s="26"/>
      <c r="OV55" s="26"/>
      <c r="OW55" s="26"/>
      <c r="OX55" s="26"/>
      <c r="OY55" s="26"/>
      <c r="OZ55" s="26"/>
      <c r="PA55" s="26"/>
      <c r="PB55" s="26"/>
      <c r="PC55" s="26"/>
      <c r="PD55" s="26"/>
      <c r="PE55" s="26"/>
      <c r="PF55" s="26"/>
      <c r="PG55" s="26"/>
      <c r="PH55" s="26"/>
      <c r="PI55" s="26"/>
      <c r="PJ55" s="26"/>
      <c r="PK55" s="26"/>
      <c r="PL55" s="26"/>
      <c r="PM55" s="26"/>
      <c r="PN55" s="26"/>
      <c r="PO55" s="26"/>
      <c r="PP55" s="26"/>
      <c r="PQ55" s="26"/>
      <c r="PR55" s="26"/>
    </row>
    <row r="56" spans="1:434" x14ac:dyDescent="0.25">
      <c r="A56" s="24"/>
      <c r="B56" s="25" t="s">
        <v>122</v>
      </c>
      <c r="C56" s="24" t="s">
        <v>70</v>
      </c>
      <c r="D56" s="24" t="s">
        <v>67</v>
      </c>
      <c r="E56" s="24"/>
      <c r="F56" s="23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3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3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23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3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3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3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3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  <c r="KT56" s="26"/>
      <c r="KU56" s="26"/>
      <c r="KV56" s="26"/>
      <c r="KW56" s="26"/>
      <c r="KX56" s="26"/>
      <c r="KY56" s="26"/>
      <c r="KZ56" s="26"/>
      <c r="LA56" s="26"/>
      <c r="LB56" s="26"/>
      <c r="LC56" s="26"/>
      <c r="LD56" s="26"/>
      <c r="LE56" s="26"/>
      <c r="LF56" s="23"/>
      <c r="LG56" s="26"/>
      <c r="LH56" s="26"/>
      <c r="LI56" s="26"/>
      <c r="LJ56" s="26"/>
      <c r="LK56" s="26"/>
      <c r="LL56" s="26"/>
      <c r="LM56" s="26"/>
      <c r="LN56" s="26"/>
      <c r="LO56" s="26"/>
      <c r="LP56" s="26"/>
      <c r="LQ56" s="26"/>
      <c r="LR56" s="26"/>
      <c r="LS56" s="26"/>
      <c r="LT56" s="26"/>
      <c r="LU56" s="26"/>
      <c r="LV56" s="26"/>
      <c r="LW56" s="26"/>
      <c r="LX56" s="26"/>
      <c r="LY56" s="26"/>
      <c r="LZ56" s="26"/>
      <c r="MA56" s="26"/>
      <c r="MB56" s="26"/>
      <c r="MC56" s="26"/>
      <c r="MD56" s="26"/>
      <c r="ME56" s="26"/>
      <c r="MF56" s="26"/>
      <c r="MG56" s="26"/>
      <c r="MH56" s="26"/>
      <c r="MI56" s="26"/>
      <c r="MJ56" s="26"/>
      <c r="MK56" s="26"/>
      <c r="ML56" s="26"/>
      <c r="MM56" s="26"/>
      <c r="MN56" s="26"/>
      <c r="MO56" s="26"/>
      <c r="MP56" s="26"/>
      <c r="MQ56" s="26"/>
      <c r="MR56" s="26"/>
      <c r="MS56" s="23"/>
      <c r="MT56" s="26"/>
      <c r="MU56" s="26"/>
      <c r="MV56" s="26"/>
      <c r="MW56" s="26"/>
      <c r="MX56" s="26"/>
      <c r="MY56" s="26"/>
      <c r="MZ56" s="26"/>
      <c r="NA56" s="26"/>
      <c r="NB56" s="26"/>
      <c r="NC56" s="26"/>
      <c r="ND56" s="26"/>
      <c r="NE56" s="26"/>
      <c r="NF56" s="26"/>
      <c r="NG56" s="26"/>
      <c r="NH56" s="26"/>
      <c r="NI56" s="26"/>
      <c r="NJ56" s="26"/>
      <c r="NK56" s="26"/>
      <c r="NL56" s="26"/>
      <c r="NM56" s="26"/>
      <c r="NN56" s="26"/>
      <c r="NO56" s="26"/>
      <c r="NP56" s="26"/>
      <c r="NQ56" s="26"/>
      <c r="NR56" s="26"/>
      <c r="NS56" s="26"/>
      <c r="NT56" s="26"/>
      <c r="NU56" s="26"/>
      <c r="NV56" s="26"/>
      <c r="NW56" s="26"/>
      <c r="NX56" s="26"/>
      <c r="NY56" s="26"/>
      <c r="NZ56" s="26"/>
      <c r="OA56" s="26"/>
      <c r="OB56" s="26"/>
      <c r="OC56" s="26"/>
      <c r="OD56" s="26"/>
      <c r="OE56" s="26"/>
      <c r="OF56" s="23"/>
      <c r="OG56" s="26"/>
      <c r="OH56" s="26"/>
      <c r="OI56" s="26"/>
      <c r="OJ56" s="26"/>
      <c r="OK56" s="26"/>
      <c r="OL56" s="26"/>
      <c r="OM56" s="26"/>
      <c r="ON56" s="26"/>
      <c r="OO56" s="26"/>
      <c r="OP56" s="26"/>
      <c r="OQ56" s="26"/>
      <c r="OR56" s="26"/>
      <c r="OS56" s="26"/>
      <c r="OT56" s="26"/>
      <c r="OU56" s="26"/>
      <c r="OV56" s="26"/>
      <c r="OW56" s="26"/>
      <c r="OX56" s="26"/>
      <c r="OY56" s="26"/>
      <c r="OZ56" s="26"/>
      <c r="PA56" s="26"/>
      <c r="PB56" s="26"/>
      <c r="PC56" s="26"/>
      <c r="PD56" s="26"/>
      <c r="PE56" s="26"/>
      <c r="PF56" s="26"/>
      <c r="PG56" s="26"/>
      <c r="PH56" s="26"/>
      <c r="PI56" s="26"/>
      <c r="PJ56" s="26"/>
      <c r="PK56" s="26"/>
      <c r="PL56" s="26"/>
      <c r="PM56" s="26"/>
      <c r="PN56" s="26"/>
      <c r="PO56" s="26"/>
      <c r="PP56" s="26"/>
      <c r="PQ56" s="26"/>
      <c r="PR56" s="26"/>
    </row>
    <row r="57" spans="1:434" ht="21.95" customHeight="1" x14ac:dyDescent="0.25">
      <c r="A57" s="87" t="s">
        <v>123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  <c r="FU57" s="88"/>
      <c r="FV57" s="88"/>
      <c r="FW57" s="88"/>
      <c r="FX57" s="88"/>
      <c r="FY57" s="88"/>
      <c r="FZ57" s="88"/>
      <c r="GA57" s="88"/>
      <c r="GB57" s="88"/>
      <c r="GC57" s="88"/>
      <c r="GD57" s="88"/>
      <c r="GE57" s="88"/>
      <c r="GF57" s="88"/>
      <c r="GG57" s="88"/>
      <c r="GH57" s="88"/>
      <c r="GI57" s="88"/>
      <c r="GJ57" s="88"/>
      <c r="GK57" s="88"/>
      <c r="GL57" s="88"/>
      <c r="GM57" s="88"/>
      <c r="GN57" s="88"/>
      <c r="GO57" s="88"/>
      <c r="GP57" s="88"/>
      <c r="GQ57" s="88"/>
      <c r="GR57" s="88"/>
      <c r="GS57" s="88"/>
      <c r="GT57" s="88"/>
      <c r="GU57" s="88"/>
      <c r="GV57" s="88"/>
      <c r="GW57" s="88"/>
      <c r="GX57" s="88"/>
      <c r="GY57" s="88"/>
      <c r="GZ57" s="88"/>
      <c r="HA57" s="88"/>
      <c r="HB57" s="88"/>
      <c r="HC57" s="88"/>
      <c r="HD57" s="88"/>
      <c r="HE57" s="88"/>
      <c r="HF57" s="88"/>
      <c r="HG57" s="88"/>
      <c r="HH57" s="88"/>
      <c r="HI57" s="88"/>
      <c r="HJ57" s="88"/>
      <c r="HK57" s="88"/>
      <c r="HL57" s="88"/>
      <c r="HM57" s="88"/>
      <c r="HN57" s="88"/>
      <c r="HO57" s="88"/>
      <c r="HP57" s="88"/>
      <c r="HQ57" s="88"/>
      <c r="HR57" s="88"/>
      <c r="HS57" s="88"/>
      <c r="HT57" s="88"/>
      <c r="HU57" s="88"/>
      <c r="HV57" s="88"/>
      <c r="HW57" s="88"/>
      <c r="HX57" s="88"/>
      <c r="HY57" s="88"/>
      <c r="HZ57" s="88"/>
      <c r="IA57" s="88"/>
      <c r="IB57" s="88"/>
      <c r="IC57" s="88"/>
      <c r="ID57" s="88"/>
      <c r="IE57" s="88"/>
      <c r="IF57" s="88"/>
      <c r="IG57" s="88"/>
      <c r="IH57" s="88"/>
      <c r="II57" s="88"/>
      <c r="IJ57" s="88"/>
      <c r="IK57" s="88"/>
      <c r="IL57" s="88"/>
      <c r="IM57" s="88"/>
      <c r="IN57" s="88"/>
      <c r="IO57" s="88"/>
      <c r="IP57" s="88"/>
      <c r="IQ57" s="88"/>
      <c r="IR57" s="88"/>
      <c r="IS57" s="88"/>
      <c r="IT57" s="88"/>
      <c r="IU57" s="88"/>
      <c r="IV57" s="88"/>
      <c r="IW57" s="88"/>
      <c r="IX57" s="88"/>
      <c r="IY57" s="88"/>
      <c r="IZ57" s="88"/>
      <c r="JA57" s="88"/>
      <c r="JB57" s="88"/>
      <c r="JC57" s="88"/>
      <c r="JD57" s="88"/>
      <c r="JE57" s="88"/>
      <c r="JF57" s="88"/>
      <c r="JG57" s="88"/>
      <c r="JH57" s="88"/>
      <c r="JI57" s="88"/>
      <c r="JJ57" s="88"/>
      <c r="JK57" s="88"/>
      <c r="JL57" s="88"/>
      <c r="JM57" s="88"/>
      <c r="JN57" s="88"/>
      <c r="JO57" s="88"/>
      <c r="JP57" s="88"/>
      <c r="JQ57" s="88"/>
      <c r="JR57" s="88"/>
      <c r="JS57" s="88"/>
      <c r="JT57" s="88"/>
      <c r="JU57" s="88"/>
      <c r="JV57" s="88"/>
      <c r="JW57" s="88"/>
      <c r="JX57" s="88"/>
      <c r="JY57" s="88"/>
      <c r="JZ57" s="88"/>
      <c r="KA57" s="88"/>
      <c r="KB57" s="88"/>
      <c r="KC57" s="88"/>
      <c r="KD57" s="88"/>
      <c r="KE57" s="88"/>
      <c r="KF57" s="88"/>
      <c r="KG57" s="88"/>
      <c r="KH57" s="88"/>
      <c r="KI57" s="88"/>
      <c r="KJ57" s="88"/>
      <c r="KK57" s="88"/>
      <c r="KL57" s="88"/>
      <c r="KM57" s="88"/>
      <c r="KN57" s="88"/>
      <c r="KO57" s="88"/>
      <c r="KP57" s="88"/>
      <c r="KQ57" s="88"/>
      <c r="KR57" s="88"/>
      <c r="KS57" s="88"/>
      <c r="KT57" s="88"/>
      <c r="KU57" s="88"/>
      <c r="KV57" s="88"/>
      <c r="KW57" s="88"/>
      <c r="KX57" s="88"/>
      <c r="KY57" s="88"/>
      <c r="KZ57" s="88"/>
      <c r="LA57" s="88"/>
      <c r="LB57" s="88"/>
      <c r="LC57" s="88"/>
      <c r="LD57" s="88"/>
      <c r="LE57" s="88"/>
      <c r="LF57" s="88"/>
      <c r="LG57" s="88"/>
      <c r="LH57" s="88"/>
      <c r="LI57" s="88"/>
      <c r="LJ57" s="88"/>
      <c r="LK57" s="88"/>
      <c r="LL57" s="88"/>
      <c r="LM57" s="88"/>
      <c r="LN57" s="88"/>
      <c r="LO57" s="88"/>
      <c r="LP57" s="88"/>
      <c r="LQ57" s="88"/>
      <c r="LR57" s="88"/>
      <c r="LS57" s="88"/>
      <c r="LT57" s="88"/>
      <c r="LU57" s="88"/>
      <c r="LV57" s="88"/>
      <c r="LW57" s="88"/>
      <c r="LX57" s="88"/>
      <c r="LY57" s="88"/>
      <c r="LZ57" s="88"/>
      <c r="MA57" s="88"/>
      <c r="MB57" s="88"/>
      <c r="MC57" s="88"/>
      <c r="MD57" s="88"/>
      <c r="ME57" s="88"/>
      <c r="MF57" s="88"/>
      <c r="MG57" s="88"/>
      <c r="MH57" s="88"/>
      <c r="MI57" s="88"/>
      <c r="MJ57" s="88"/>
      <c r="MK57" s="88"/>
      <c r="ML57" s="88"/>
      <c r="MM57" s="88"/>
      <c r="MN57" s="88"/>
      <c r="MO57" s="88"/>
      <c r="MP57" s="88"/>
      <c r="MQ57" s="88"/>
      <c r="MR57" s="88"/>
      <c r="MS57" s="88"/>
      <c r="MT57" s="88"/>
      <c r="MU57" s="88"/>
      <c r="MV57" s="88"/>
      <c r="MW57" s="88"/>
      <c r="MX57" s="88"/>
      <c r="MY57" s="88"/>
      <c r="MZ57" s="88"/>
      <c r="NA57" s="88"/>
      <c r="NB57" s="88"/>
      <c r="NC57" s="88"/>
      <c r="ND57" s="88"/>
      <c r="NE57" s="88"/>
      <c r="NF57" s="88"/>
      <c r="NG57" s="88"/>
      <c r="NH57" s="88"/>
      <c r="NI57" s="88"/>
      <c r="NJ57" s="88"/>
      <c r="NK57" s="88"/>
      <c r="NL57" s="88"/>
      <c r="NM57" s="88"/>
      <c r="NN57" s="88"/>
      <c r="NO57" s="88"/>
      <c r="NP57" s="88"/>
      <c r="NQ57" s="88"/>
      <c r="NR57" s="88"/>
      <c r="NS57" s="88"/>
      <c r="NT57" s="88"/>
      <c r="NU57" s="88"/>
      <c r="NV57" s="88"/>
      <c r="NW57" s="88"/>
      <c r="NX57" s="88"/>
      <c r="NY57" s="88"/>
      <c r="NZ57" s="88"/>
      <c r="OA57" s="88"/>
      <c r="OB57" s="88"/>
      <c r="OC57" s="88"/>
      <c r="OD57" s="88"/>
      <c r="OE57" s="88"/>
      <c r="OF57" s="88"/>
      <c r="OG57" s="88"/>
      <c r="OH57" s="88"/>
      <c r="OI57" s="88"/>
      <c r="OJ57" s="88"/>
      <c r="OK57" s="88"/>
      <c r="OL57" s="88"/>
      <c r="OM57" s="88"/>
      <c r="ON57" s="88"/>
      <c r="OO57" s="88"/>
      <c r="OP57" s="88"/>
      <c r="OQ57" s="88"/>
      <c r="OR57" s="88"/>
      <c r="OS57" s="88"/>
      <c r="OT57" s="88"/>
      <c r="OU57" s="88"/>
      <c r="OV57" s="88"/>
      <c r="OW57" s="88"/>
      <c r="OX57" s="88"/>
      <c r="OY57" s="88"/>
      <c r="OZ57" s="88"/>
      <c r="PA57" s="88"/>
      <c r="PB57" s="88"/>
      <c r="PC57" s="88"/>
      <c r="PD57" s="88"/>
      <c r="PE57" s="88"/>
      <c r="PF57" s="88"/>
      <c r="PG57" s="88"/>
      <c r="PH57" s="88"/>
      <c r="PI57" s="88"/>
      <c r="PJ57" s="88"/>
      <c r="PK57" s="88"/>
      <c r="PL57" s="88"/>
      <c r="PM57" s="88"/>
      <c r="PN57" s="88"/>
      <c r="PO57" s="88"/>
      <c r="PP57" s="88"/>
      <c r="PQ57" s="88"/>
      <c r="PR57" s="89"/>
    </row>
    <row r="58" spans="1:434" ht="25.5" x14ac:dyDescent="0.25">
      <c r="A58" s="24"/>
      <c r="B58" s="25" t="s">
        <v>124</v>
      </c>
      <c r="C58" s="24" t="s">
        <v>66</v>
      </c>
      <c r="D58" s="24" t="s">
        <v>73</v>
      </c>
      <c r="E58" s="24"/>
      <c r="F58" s="23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3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3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23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3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3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3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3"/>
      <c r="JT58" s="26"/>
      <c r="JU58" s="26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  <c r="KO58" s="26"/>
      <c r="KP58" s="26"/>
      <c r="KQ58" s="26"/>
      <c r="KR58" s="26"/>
      <c r="KS58" s="26"/>
      <c r="KT58" s="26"/>
      <c r="KU58" s="26"/>
      <c r="KV58" s="26"/>
      <c r="KW58" s="26"/>
      <c r="KX58" s="26"/>
      <c r="KY58" s="26"/>
      <c r="KZ58" s="26"/>
      <c r="LA58" s="26"/>
      <c r="LB58" s="26"/>
      <c r="LC58" s="26"/>
      <c r="LD58" s="26"/>
      <c r="LE58" s="26"/>
      <c r="LF58" s="23"/>
      <c r="LG58" s="26"/>
      <c r="LH58" s="26"/>
      <c r="LI58" s="26"/>
      <c r="LJ58" s="26"/>
      <c r="LK58" s="26"/>
      <c r="LL58" s="26"/>
      <c r="LM58" s="26"/>
      <c r="LN58" s="26"/>
      <c r="LO58" s="26"/>
      <c r="LP58" s="26"/>
      <c r="LQ58" s="26"/>
      <c r="LR58" s="26"/>
      <c r="LS58" s="26"/>
      <c r="LT58" s="26"/>
      <c r="LU58" s="26"/>
      <c r="LV58" s="26"/>
      <c r="LW58" s="26"/>
      <c r="LX58" s="26"/>
      <c r="LY58" s="26"/>
      <c r="LZ58" s="26"/>
      <c r="MA58" s="26"/>
      <c r="MB58" s="26"/>
      <c r="MC58" s="26"/>
      <c r="MD58" s="26"/>
      <c r="ME58" s="26"/>
      <c r="MF58" s="26"/>
      <c r="MG58" s="26"/>
      <c r="MH58" s="26"/>
      <c r="MI58" s="26"/>
      <c r="MJ58" s="26"/>
      <c r="MK58" s="26"/>
      <c r="ML58" s="26"/>
      <c r="MM58" s="26"/>
      <c r="MN58" s="26"/>
      <c r="MO58" s="26"/>
      <c r="MP58" s="26"/>
      <c r="MQ58" s="26"/>
      <c r="MR58" s="26"/>
      <c r="MS58" s="23"/>
      <c r="MT58" s="26"/>
      <c r="MU58" s="26"/>
      <c r="MV58" s="26"/>
      <c r="MW58" s="26"/>
      <c r="MX58" s="26"/>
      <c r="MY58" s="26"/>
      <c r="MZ58" s="26"/>
      <c r="NA58" s="26"/>
      <c r="NB58" s="26"/>
      <c r="NC58" s="26"/>
      <c r="ND58" s="26"/>
      <c r="NE58" s="26"/>
      <c r="NF58" s="26"/>
      <c r="NG58" s="26"/>
      <c r="NH58" s="26"/>
      <c r="NI58" s="26"/>
      <c r="NJ58" s="26"/>
      <c r="NK58" s="26"/>
      <c r="NL58" s="26"/>
      <c r="NM58" s="26"/>
      <c r="NN58" s="26"/>
      <c r="NO58" s="26"/>
      <c r="NP58" s="26"/>
      <c r="NQ58" s="26"/>
      <c r="NR58" s="26"/>
      <c r="NS58" s="26"/>
      <c r="NT58" s="26"/>
      <c r="NU58" s="26"/>
      <c r="NV58" s="26"/>
      <c r="NW58" s="26"/>
      <c r="NX58" s="26"/>
      <c r="NY58" s="26"/>
      <c r="NZ58" s="26"/>
      <c r="OA58" s="26"/>
      <c r="OB58" s="26"/>
      <c r="OC58" s="26"/>
      <c r="OD58" s="26"/>
      <c r="OE58" s="26"/>
      <c r="OF58" s="23"/>
      <c r="OG58" s="26"/>
      <c r="OH58" s="26"/>
      <c r="OI58" s="26"/>
      <c r="OJ58" s="26"/>
      <c r="OK58" s="26"/>
      <c r="OL58" s="26"/>
      <c r="OM58" s="26"/>
      <c r="ON58" s="26"/>
      <c r="OO58" s="26"/>
      <c r="OP58" s="26"/>
      <c r="OQ58" s="26"/>
      <c r="OR58" s="26"/>
      <c r="OS58" s="26"/>
      <c r="OT58" s="26"/>
      <c r="OU58" s="26"/>
      <c r="OV58" s="26"/>
      <c r="OW58" s="26"/>
      <c r="OX58" s="26"/>
      <c r="OY58" s="26"/>
      <c r="OZ58" s="26"/>
      <c r="PA58" s="26"/>
      <c r="PB58" s="26"/>
      <c r="PC58" s="26"/>
      <c r="PD58" s="26"/>
      <c r="PE58" s="26"/>
      <c r="PF58" s="26"/>
      <c r="PG58" s="26"/>
      <c r="PH58" s="26"/>
      <c r="PI58" s="26"/>
      <c r="PJ58" s="26"/>
      <c r="PK58" s="26"/>
      <c r="PL58" s="26"/>
      <c r="PM58" s="26"/>
      <c r="PN58" s="26"/>
      <c r="PO58" s="26"/>
      <c r="PP58" s="26"/>
      <c r="PQ58" s="26"/>
      <c r="PR58" s="26"/>
    </row>
    <row r="59" spans="1:434" x14ac:dyDescent="0.25">
      <c r="A59" s="24"/>
      <c r="B59" s="25" t="s">
        <v>125</v>
      </c>
      <c r="C59" s="24" t="s">
        <v>70</v>
      </c>
      <c r="D59" s="24" t="s">
        <v>76</v>
      </c>
      <c r="E59" s="24"/>
      <c r="F59" s="23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3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3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23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3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3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3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3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6"/>
      <c r="KR59" s="26"/>
      <c r="KS59" s="26"/>
      <c r="KT59" s="26"/>
      <c r="KU59" s="26"/>
      <c r="KV59" s="26"/>
      <c r="KW59" s="26"/>
      <c r="KX59" s="26"/>
      <c r="KY59" s="26"/>
      <c r="KZ59" s="26"/>
      <c r="LA59" s="26"/>
      <c r="LB59" s="26"/>
      <c r="LC59" s="26"/>
      <c r="LD59" s="26"/>
      <c r="LE59" s="26"/>
      <c r="LF59" s="23"/>
      <c r="LG59" s="26"/>
      <c r="LH59" s="26"/>
      <c r="LI59" s="26"/>
      <c r="LJ59" s="26"/>
      <c r="LK59" s="26"/>
      <c r="LL59" s="26"/>
      <c r="LM59" s="26"/>
      <c r="LN59" s="26"/>
      <c r="LO59" s="26"/>
      <c r="LP59" s="26"/>
      <c r="LQ59" s="26"/>
      <c r="LR59" s="26"/>
      <c r="LS59" s="26"/>
      <c r="LT59" s="26"/>
      <c r="LU59" s="26"/>
      <c r="LV59" s="26"/>
      <c r="LW59" s="26"/>
      <c r="LX59" s="26"/>
      <c r="LY59" s="26"/>
      <c r="LZ59" s="26"/>
      <c r="MA59" s="26"/>
      <c r="MB59" s="26"/>
      <c r="MC59" s="26"/>
      <c r="MD59" s="26"/>
      <c r="ME59" s="26"/>
      <c r="MF59" s="26"/>
      <c r="MG59" s="26"/>
      <c r="MH59" s="26"/>
      <c r="MI59" s="26"/>
      <c r="MJ59" s="26"/>
      <c r="MK59" s="26"/>
      <c r="ML59" s="26"/>
      <c r="MM59" s="26"/>
      <c r="MN59" s="26"/>
      <c r="MO59" s="26"/>
      <c r="MP59" s="26"/>
      <c r="MQ59" s="26"/>
      <c r="MR59" s="26"/>
      <c r="MS59" s="23"/>
      <c r="MT59" s="26"/>
      <c r="MU59" s="26"/>
      <c r="MV59" s="26"/>
      <c r="MW59" s="26"/>
      <c r="MX59" s="26"/>
      <c r="MY59" s="26"/>
      <c r="MZ59" s="26"/>
      <c r="NA59" s="26"/>
      <c r="NB59" s="26"/>
      <c r="NC59" s="26"/>
      <c r="ND59" s="26"/>
      <c r="NE59" s="26"/>
      <c r="NF59" s="26"/>
      <c r="NG59" s="26"/>
      <c r="NH59" s="26"/>
      <c r="NI59" s="26"/>
      <c r="NJ59" s="26"/>
      <c r="NK59" s="26"/>
      <c r="NL59" s="26"/>
      <c r="NM59" s="26"/>
      <c r="NN59" s="26"/>
      <c r="NO59" s="26"/>
      <c r="NP59" s="26"/>
      <c r="NQ59" s="26"/>
      <c r="NR59" s="26"/>
      <c r="NS59" s="26"/>
      <c r="NT59" s="26"/>
      <c r="NU59" s="26"/>
      <c r="NV59" s="26"/>
      <c r="NW59" s="26"/>
      <c r="NX59" s="26"/>
      <c r="NY59" s="26"/>
      <c r="NZ59" s="26"/>
      <c r="OA59" s="26"/>
      <c r="OB59" s="26"/>
      <c r="OC59" s="26"/>
      <c r="OD59" s="26"/>
      <c r="OE59" s="26"/>
      <c r="OF59" s="23"/>
      <c r="OG59" s="26"/>
      <c r="OH59" s="26"/>
      <c r="OI59" s="26"/>
      <c r="OJ59" s="26"/>
      <c r="OK59" s="26"/>
      <c r="OL59" s="26"/>
      <c r="OM59" s="26"/>
      <c r="ON59" s="26"/>
      <c r="OO59" s="26"/>
      <c r="OP59" s="26"/>
      <c r="OQ59" s="26"/>
      <c r="OR59" s="26"/>
      <c r="OS59" s="26"/>
      <c r="OT59" s="26"/>
      <c r="OU59" s="26"/>
      <c r="OV59" s="26"/>
      <c r="OW59" s="26"/>
      <c r="OX59" s="26"/>
      <c r="OY59" s="26"/>
      <c r="OZ59" s="26"/>
      <c r="PA59" s="26"/>
      <c r="PB59" s="26"/>
      <c r="PC59" s="26"/>
      <c r="PD59" s="26"/>
      <c r="PE59" s="26"/>
      <c r="PF59" s="26"/>
      <c r="PG59" s="26"/>
      <c r="PH59" s="26"/>
      <c r="PI59" s="26"/>
      <c r="PJ59" s="26"/>
      <c r="PK59" s="26"/>
      <c r="PL59" s="26"/>
      <c r="PM59" s="26"/>
      <c r="PN59" s="26"/>
      <c r="PO59" s="26"/>
      <c r="PP59" s="26"/>
      <c r="PQ59" s="26"/>
      <c r="PR59" s="26"/>
    </row>
    <row r="60" spans="1:434" ht="25.5" x14ac:dyDescent="0.25">
      <c r="A60" s="24"/>
      <c r="B60" s="25" t="s">
        <v>126</v>
      </c>
      <c r="C60" s="24" t="s">
        <v>70</v>
      </c>
      <c r="D60" s="24" t="s">
        <v>73</v>
      </c>
      <c r="E60" s="24"/>
      <c r="F60" s="23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3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3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23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3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3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3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3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  <c r="KO60" s="26"/>
      <c r="KP60" s="26"/>
      <c r="KQ60" s="26"/>
      <c r="KR60" s="26"/>
      <c r="KS60" s="26"/>
      <c r="KT60" s="26"/>
      <c r="KU60" s="26"/>
      <c r="KV60" s="26"/>
      <c r="KW60" s="26"/>
      <c r="KX60" s="26"/>
      <c r="KY60" s="26"/>
      <c r="KZ60" s="26"/>
      <c r="LA60" s="26"/>
      <c r="LB60" s="26"/>
      <c r="LC60" s="26"/>
      <c r="LD60" s="26"/>
      <c r="LE60" s="26"/>
      <c r="LF60" s="23"/>
      <c r="LG60" s="26"/>
      <c r="LH60" s="26"/>
      <c r="LI60" s="26"/>
      <c r="LJ60" s="26"/>
      <c r="LK60" s="26"/>
      <c r="LL60" s="26"/>
      <c r="LM60" s="26"/>
      <c r="LN60" s="26"/>
      <c r="LO60" s="26"/>
      <c r="LP60" s="26"/>
      <c r="LQ60" s="26"/>
      <c r="LR60" s="26"/>
      <c r="LS60" s="26"/>
      <c r="LT60" s="26"/>
      <c r="LU60" s="26"/>
      <c r="LV60" s="26"/>
      <c r="LW60" s="26"/>
      <c r="LX60" s="26"/>
      <c r="LY60" s="26"/>
      <c r="LZ60" s="26"/>
      <c r="MA60" s="26"/>
      <c r="MB60" s="26"/>
      <c r="MC60" s="26"/>
      <c r="MD60" s="26"/>
      <c r="ME60" s="26"/>
      <c r="MF60" s="26"/>
      <c r="MG60" s="26"/>
      <c r="MH60" s="26"/>
      <c r="MI60" s="26"/>
      <c r="MJ60" s="26"/>
      <c r="MK60" s="26"/>
      <c r="ML60" s="26"/>
      <c r="MM60" s="26"/>
      <c r="MN60" s="26"/>
      <c r="MO60" s="26"/>
      <c r="MP60" s="26"/>
      <c r="MQ60" s="26"/>
      <c r="MR60" s="26"/>
      <c r="MS60" s="23"/>
      <c r="MT60" s="26"/>
      <c r="MU60" s="26"/>
      <c r="MV60" s="26"/>
      <c r="MW60" s="26"/>
      <c r="MX60" s="26"/>
      <c r="MY60" s="26"/>
      <c r="MZ60" s="26"/>
      <c r="NA60" s="26"/>
      <c r="NB60" s="26"/>
      <c r="NC60" s="26"/>
      <c r="ND60" s="26"/>
      <c r="NE60" s="26"/>
      <c r="NF60" s="26"/>
      <c r="NG60" s="26"/>
      <c r="NH60" s="26"/>
      <c r="NI60" s="26"/>
      <c r="NJ60" s="26"/>
      <c r="NK60" s="26"/>
      <c r="NL60" s="26"/>
      <c r="NM60" s="26"/>
      <c r="NN60" s="26"/>
      <c r="NO60" s="26"/>
      <c r="NP60" s="26"/>
      <c r="NQ60" s="26"/>
      <c r="NR60" s="26"/>
      <c r="NS60" s="26"/>
      <c r="NT60" s="26"/>
      <c r="NU60" s="26"/>
      <c r="NV60" s="26"/>
      <c r="NW60" s="26"/>
      <c r="NX60" s="26"/>
      <c r="NY60" s="26"/>
      <c r="NZ60" s="26"/>
      <c r="OA60" s="26"/>
      <c r="OB60" s="26"/>
      <c r="OC60" s="26"/>
      <c r="OD60" s="26"/>
      <c r="OE60" s="26"/>
      <c r="OF60" s="23"/>
      <c r="OG60" s="26"/>
      <c r="OH60" s="26"/>
      <c r="OI60" s="26"/>
      <c r="OJ60" s="26"/>
      <c r="OK60" s="26"/>
      <c r="OL60" s="26"/>
      <c r="OM60" s="26"/>
      <c r="ON60" s="26"/>
      <c r="OO60" s="26"/>
      <c r="OP60" s="26"/>
      <c r="OQ60" s="26"/>
      <c r="OR60" s="26"/>
      <c r="OS60" s="26"/>
      <c r="OT60" s="26"/>
      <c r="OU60" s="26"/>
      <c r="OV60" s="26"/>
      <c r="OW60" s="26"/>
      <c r="OX60" s="26"/>
      <c r="OY60" s="26"/>
      <c r="OZ60" s="26"/>
      <c r="PA60" s="26"/>
      <c r="PB60" s="26"/>
      <c r="PC60" s="26"/>
      <c r="PD60" s="26"/>
      <c r="PE60" s="26"/>
      <c r="PF60" s="26"/>
      <c r="PG60" s="26"/>
      <c r="PH60" s="26"/>
      <c r="PI60" s="26"/>
      <c r="PJ60" s="26"/>
      <c r="PK60" s="26"/>
      <c r="PL60" s="26"/>
      <c r="PM60" s="26"/>
      <c r="PN60" s="26"/>
      <c r="PO60" s="26"/>
      <c r="PP60" s="26"/>
      <c r="PQ60" s="26"/>
      <c r="PR60" s="26"/>
    </row>
    <row r="61" spans="1:434" x14ac:dyDescent="0.25">
      <c r="A61" s="24"/>
      <c r="B61" s="25" t="s">
        <v>127</v>
      </c>
      <c r="C61" s="24" t="s">
        <v>66</v>
      </c>
      <c r="D61" s="24" t="s">
        <v>67</v>
      </c>
      <c r="E61" s="24"/>
      <c r="F61" s="23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3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3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23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3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3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3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3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6"/>
      <c r="KR61" s="26"/>
      <c r="KS61" s="26"/>
      <c r="KT61" s="26"/>
      <c r="KU61" s="26"/>
      <c r="KV61" s="26"/>
      <c r="KW61" s="26"/>
      <c r="KX61" s="26"/>
      <c r="KY61" s="26"/>
      <c r="KZ61" s="26"/>
      <c r="LA61" s="26"/>
      <c r="LB61" s="26"/>
      <c r="LC61" s="26"/>
      <c r="LD61" s="26"/>
      <c r="LE61" s="26"/>
      <c r="LF61" s="23"/>
      <c r="LG61" s="26"/>
      <c r="LH61" s="26"/>
      <c r="LI61" s="26"/>
      <c r="LJ61" s="26"/>
      <c r="LK61" s="26"/>
      <c r="LL61" s="26"/>
      <c r="LM61" s="26"/>
      <c r="LN61" s="26"/>
      <c r="LO61" s="26"/>
      <c r="LP61" s="26"/>
      <c r="LQ61" s="26"/>
      <c r="LR61" s="26"/>
      <c r="LS61" s="26"/>
      <c r="LT61" s="26"/>
      <c r="LU61" s="26"/>
      <c r="LV61" s="26"/>
      <c r="LW61" s="26"/>
      <c r="LX61" s="26"/>
      <c r="LY61" s="26"/>
      <c r="LZ61" s="26"/>
      <c r="MA61" s="26"/>
      <c r="MB61" s="26"/>
      <c r="MC61" s="26"/>
      <c r="MD61" s="26"/>
      <c r="ME61" s="26"/>
      <c r="MF61" s="26"/>
      <c r="MG61" s="26"/>
      <c r="MH61" s="26"/>
      <c r="MI61" s="26"/>
      <c r="MJ61" s="26"/>
      <c r="MK61" s="26"/>
      <c r="ML61" s="26"/>
      <c r="MM61" s="26"/>
      <c r="MN61" s="26"/>
      <c r="MO61" s="26"/>
      <c r="MP61" s="26"/>
      <c r="MQ61" s="26"/>
      <c r="MR61" s="26"/>
      <c r="MS61" s="23"/>
      <c r="MT61" s="26"/>
      <c r="MU61" s="26"/>
      <c r="MV61" s="26"/>
      <c r="MW61" s="26"/>
      <c r="MX61" s="26"/>
      <c r="MY61" s="26"/>
      <c r="MZ61" s="26"/>
      <c r="NA61" s="26"/>
      <c r="NB61" s="26"/>
      <c r="NC61" s="26"/>
      <c r="ND61" s="26"/>
      <c r="NE61" s="26"/>
      <c r="NF61" s="26"/>
      <c r="NG61" s="26"/>
      <c r="NH61" s="26"/>
      <c r="NI61" s="26"/>
      <c r="NJ61" s="26"/>
      <c r="NK61" s="26"/>
      <c r="NL61" s="26"/>
      <c r="NM61" s="26"/>
      <c r="NN61" s="26"/>
      <c r="NO61" s="26"/>
      <c r="NP61" s="26"/>
      <c r="NQ61" s="26"/>
      <c r="NR61" s="26"/>
      <c r="NS61" s="26"/>
      <c r="NT61" s="26"/>
      <c r="NU61" s="26"/>
      <c r="NV61" s="26"/>
      <c r="NW61" s="26"/>
      <c r="NX61" s="26"/>
      <c r="NY61" s="26"/>
      <c r="NZ61" s="26"/>
      <c r="OA61" s="26"/>
      <c r="OB61" s="26"/>
      <c r="OC61" s="26"/>
      <c r="OD61" s="26"/>
      <c r="OE61" s="26"/>
      <c r="OF61" s="23"/>
      <c r="OG61" s="26"/>
      <c r="OH61" s="26"/>
      <c r="OI61" s="26"/>
      <c r="OJ61" s="26"/>
      <c r="OK61" s="26"/>
      <c r="OL61" s="26"/>
      <c r="OM61" s="26"/>
      <c r="ON61" s="26"/>
      <c r="OO61" s="26"/>
      <c r="OP61" s="26"/>
      <c r="OQ61" s="26"/>
      <c r="OR61" s="26"/>
      <c r="OS61" s="26"/>
      <c r="OT61" s="26"/>
      <c r="OU61" s="26"/>
      <c r="OV61" s="26"/>
      <c r="OW61" s="26"/>
      <c r="OX61" s="26"/>
      <c r="OY61" s="26"/>
      <c r="OZ61" s="26"/>
      <c r="PA61" s="26"/>
      <c r="PB61" s="26"/>
      <c r="PC61" s="26"/>
      <c r="PD61" s="26"/>
      <c r="PE61" s="26"/>
      <c r="PF61" s="26"/>
      <c r="PG61" s="26"/>
      <c r="PH61" s="26"/>
      <c r="PI61" s="26"/>
      <c r="PJ61" s="26"/>
      <c r="PK61" s="26"/>
      <c r="PL61" s="26"/>
      <c r="PM61" s="26"/>
      <c r="PN61" s="26"/>
      <c r="PO61" s="26"/>
      <c r="PP61" s="26"/>
      <c r="PQ61" s="26"/>
      <c r="PR61" s="26"/>
    </row>
    <row r="62" spans="1:434" x14ac:dyDescent="0.25">
      <c r="A62" s="24"/>
      <c r="B62" s="25" t="s">
        <v>128</v>
      </c>
      <c r="C62" s="24" t="s">
        <v>70</v>
      </c>
      <c r="D62" s="24" t="s">
        <v>76</v>
      </c>
      <c r="E62" s="24"/>
      <c r="F62" s="23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3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3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23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3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3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3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3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6"/>
      <c r="KR62" s="26"/>
      <c r="KS62" s="26"/>
      <c r="KT62" s="26"/>
      <c r="KU62" s="26"/>
      <c r="KV62" s="26"/>
      <c r="KW62" s="26"/>
      <c r="KX62" s="26"/>
      <c r="KY62" s="26"/>
      <c r="KZ62" s="26"/>
      <c r="LA62" s="26"/>
      <c r="LB62" s="26"/>
      <c r="LC62" s="26"/>
      <c r="LD62" s="26"/>
      <c r="LE62" s="26"/>
      <c r="LF62" s="23"/>
      <c r="LG62" s="26"/>
      <c r="LH62" s="26"/>
      <c r="LI62" s="26"/>
      <c r="LJ62" s="26"/>
      <c r="LK62" s="26"/>
      <c r="LL62" s="26"/>
      <c r="LM62" s="26"/>
      <c r="LN62" s="26"/>
      <c r="LO62" s="26"/>
      <c r="LP62" s="26"/>
      <c r="LQ62" s="26"/>
      <c r="LR62" s="26"/>
      <c r="LS62" s="26"/>
      <c r="LT62" s="26"/>
      <c r="LU62" s="26"/>
      <c r="LV62" s="26"/>
      <c r="LW62" s="26"/>
      <c r="LX62" s="26"/>
      <c r="LY62" s="26"/>
      <c r="LZ62" s="26"/>
      <c r="MA62" s="26"/>
      <c r="MB62" s="26"/>
      <c r="MC62" s="26"/>
      <c r="MD62" s="26"/>
      <c r="ME62" s="26"/>
      <c r="MF62" s="26"/>
      <c r="MG62" s="26"/>
      <c r="MH62" s="26"/>
      <c r="MI62" s="26"/>
      <c r="MJ62" s="26"/>
      <c r="MK62" s="26"/>
      <c r="ML62" s="26"/>
      <c r="MM62" s="26"/>
      <c r="MN62" s="26"/>
      <c r="MO62" s="26"/>
      <c r="MP62" s="26"/>
      <c r="MQ62" s="26"/>
      <c r="MR62" s="26"/>
      <c r="MS62" s="23"/>
      <c r="MT62" s="26"/>
      <c r="MU62" s="26"/>
      <c r="MV62" s="26"/>
      <c r="MW62" s="26"/>
      <c r="MX62" s="26"/>
      <c r="MY62" s="26"/>
      <c r="MZ62" s="26"/>
      <c r="NA62" s="26"/>
      <c r="NB62" s="26"/>
      <c r="NC62" s="26"/>
      <c r="ND62" s="26"/>
      <c r="NE62" s="26"/>
      <c r="NF62" s="26"/>
      <c r="NG62" s="26"/>
      <c r="NH62" s="26"/>
      <c r="NI62" s="26"/>
      <c r="NJ62" s="26"/>
      <c r="NK62" s="26"/>
      <c r="NL62" s="26"/>
      <c r="NM62" s="26"/>
      <c r="NN62" s="26"/>
      <c r="NO62" s="26"/>
      <c r="NP62" s="26"/>
      <c r="NQ62" s="26"/>
      <c r="NR62" s="26"/>
      <c r="NS62" s="26"/>
      <c r="NT62" s="26"/>
      <c r="NU62" s="26"/>
      <c r="NV62" s="26"/>
      <c r="NW62" s="26"/>
      <c r="NX62" s="26"/>
      <c r="NY62" s="26"/>
      <c r="NZ62" s="26"/>
      <c r="OA62" s="26"/>
      <c r="OB62" s="26"/>
      <c r="OC62" s="26"/>
      <c r="OD62" s="26"/>
      <c r="OE62" s="26"/>
      <c r="OF62" s="23"/>
      <c r="OG62" s="26"/>
      <c r="OH62" s="26"/>
      <c r="OI62" s="26"/>
      <c r="OJ62" s="26"/>
      <c r="OK62" s="26"/>
      <c r="OL62" s="26"/>
      <c r="OM62" s="26"/>
      <c r="ON62" s="26"/>
      <c r="OO62" s="26"/>
      <c r="OP62" s="26"/>
      <c r="OQ62" s="26"/>
      <c r="OR62" s="26"/>
      <c r="OS62" s="26"/>
      <c r="OT62" s="26"/>
      <c r="OU62" s="26"/>
      <c r="OV62" s="26"/>
      <c r="OW62" s="26"/>
      <c r="OX62" s="26"/>
      <c r="OY62" s="26"/>
      <c r="OZ62" s="26"/>
      <c r="PA62" s="26"/>
      <c r="PB62" s="26"/>
      <c r="PC62" s="26"/>
      <c r="PD62" s="26"/>
      <c r="PE62" s="26"/>
      <c r="PF62" s="26"/>
      <c r="PG62" s="26"/>
      <c r="PH62" s="26"/>
      <c r="PI62" s="26"/>
      <c r="PJ62" s="26"/>
      <c r="PK62" s="26"/>
      <c r="PL62" s="26"/>
      <c r="PM62" s="26"/>
      <c r="PN62" s="26"/>
      <c r="PO62" s="26"/>
      <c r="PP62" s="26"/>
      <c r="PQ62" s="26"/>
      <c r="PR62" s="26"/>
    </row>
    <row r="63" spans="1:434" x14ac:dyDescent="0.25">
      <c r="A63" s="24"/>
      <c r="B63" s="25" t="s">
        <v>129</v>
      </c>
      <c r="C63" s="24" t="s">
        <v>70</v>
      </c>
      <c r="D63" s="24" t="s">
        <v>76</v>
      </c>
      <c r="E63" s="24"/>
      <c r="F63" s="23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3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3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23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3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3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3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3"/>
      <c r="JT63" s="26"/>
      <c r="JU63" s="26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26"/>
      <c r="LD63" s="26"/>
      <c r="LE63" s="26"/>
      <c r="LF63" s="23"/>
      <c r="LG63" s="26"/>
      <c r="LH63" s="26"/>
      <c r="LI63" s="26"/>
      <c r="LJ63" s="26"/>
      <c r="LK63" s="26"/>
      <c r="LL63" s="26"/>
      <c r="LM63" s="26"/>
      <c r="LN63" s="26"/>
      <c r="LO63" s="26"/>
      <c r="LP63" s="26"/>
      <c r="LQ63" s="26"/>
      <c r="LR63" s="26"/>
      <c r="LS63" s="26"/>
      <c r="LT63" s="26"/>
      <c r="LU63" s="26"/>
      <c r="LV63" s="26"/>
      <c r="LW63" s="26"/>
      <c r="LX63" s="26"/>
      <c r="LY63" s="26"/>
      <c r="LZ63" s="26"/>
      <c r="MA63" s="26"/>
      <c r="MB63" s="26"/>
      <c r="MC63" s="26"/>
      <c r="MD63" s="26"/>
      <c r="ME63" s="26"/>
      <c r="MF63" s="26"/>
      <c r="MG63" s="26"/>
      <c r="MH63" s="26"/>
      <c r="MI63" s="26"/>
      <c r="MJ63" s="26"/>
      <c r="MK63" s="26"/>
      <c r="ML63" s="26"/>
      <c r="MM63" s="26"/>
      <c r="MN63" s="26"/>
      <c r="MO63" s="26"/>
      <c r="MP63" s="26"/>
      <c r="MQ63" s="26"/>
      <c r="MR63" s="26"/>
      <c r="MS63" s="23"/>
      <c r="MT63" s="26"/>
      <c r="MU63" s="26"/>
      <c r="MV63" s="26"/>
      <c r="MW63" s="26"/>
      <c r="MX63" s="26"/>
      <c r="MY63" s="26"/>
      <c r="MZ63" s="26"/>
      <c r="NA63" s="26"/>
      <c r="NB63" s="26"/>
      <c r="NC63" s="26"/>
      <c r="ND63" s="26"/>
      <c r="NE63" s="26"/>
      <c r="NF63" s="26"/>
      <c r="NG63" s="26"/>
      <c r="NH63" s="26"/>
      <c r="NI63" s="26"/>
      <c r="NJ63" s="26"/>
      <c r="NK63" s="26"/>
      <c r="NL63" s="26"/>
      <c r="NM63" s="26"/>
      <c r="NN63" s="26"/>
      <c r="NO63" s="26"/>
      <c r="NP63" s="26"/>
      <c r="NQ63" s="26"/>
      <c r="NR63" s="26"/>
      <c r="NS63" s="26"/>
      <c r="NT63" s="26"/>
      <c r="NU63" s="26"/>
      <c r="NV63" s="26"/>
      <c r="NW63" s="26"/>
      <c r="NX63" s="26"/>
      <c r="NY63" s="26"/>
      <c r="NZ63" s="26"/>
      <c r="OA63" s="26"/>
      <c r="OB63" s="26"/>
      <c r="OC63" s="26"/>
      <c r="OD63" s="26"/>
      <c r="OE63" s="26"/>
      <c r="OF63" s="23"/>
      <c r="OG63" s="26"/>
      <c r="OH63" s="26"/>
      <c r="OI63" s="26"/>
      <c r="OJ63" s="26"/>
      <c r="OK63" s="26"/>
      <c r="OL63" s="26"/>
      <c r="OM63" s="26"/>
      <c r="ON63" s="26"/>
      <c r="OO63" s="26"/>
      <c r="OP63" s="26"/>
      <c r="OQ63" s="26"/>
      <c r="OR63" s="26"/>
      <c r="OS63" s="26"/>
      <c r="OT63" s="26"/>
      <c r="OU63" s="26"/>
      <c r="OV63" s="26"/>
      <c r="OW63" s="26"/>
      <c r="OX63" s="26"/>
      <c r="OY63" s="26"/>
      <c r="OZ63" s="26"/>
      <c r="PA63" s="26"/>
      <c r="PB63" s="26"/>
      <c r="PC63" s="26"/>
      <c r="PD63" s="26"/>
      <c r="PE63" s="26"/>
      <c r="PF63" s="26"/>
      <c r="PG63" s="26"/>
      <c r="PH63" s="26"/>
      <c r="PI63" s="26"/>
      <c r="PJ63" s="26"/>
      <c r="PK63" s="26"/>
      <c r="PL63" s="26"/>
      <c r="PM63" s="26"/>
      <c r="PN63" s="26"/>
      <c r="PO63" s="26"/>
      <c r="PP63" s="26"/>
      <c r="PQ63" s="26"/>
      <c r="PR63" s="26"/>
    </row>
    <row r="64" spans="1:434" x14ac:dyDescent="0.25">
      <c r="A64" s="24"/>
      <c r="B64" s="25" t="s">
        <v>130</v>
      </c>
      <c r="C64" s="24" t="s">
        <v>70</v>
      </c>
      <c r="D64" s="24" t="s">
        <v>67</v>
      </c>
      <c r="E64" s="24"/>
      <c r="F64" s="23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3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3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23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3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3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3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3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6"/>
      <c r="KR64" s="26"/>
      <c r="KS64" s="26"/>
      <c r="KT64" s="26"/>
      <c r="KU64" s="26"/>
      <c r="KV64" s="26"/>
      <c r="KW64" s="26"/>
      <c r="KX64" s="26"/>
      <c r="KY64" s="26"/>
      <c r="KZ64" s="26"/>
      <c r="LA64" s="26"/>
      <c r="LB64" s="26"/>
      <c r="LC64" s="26"/>
      <c r="LD64" s="26"/>
      <c r="LE64" s="26"/>
      <c r="LF64" s="23"/>
      <c r="LG64" s="26"/>
      <c r="LH64" s="26"/>
      <c r="LI64" s="26"/>
      <c r="LJ64" s="26"/>
      <c r="LK64" s="26"/>
      <c r="LL64" s="26"/>
      <c r="LM64" s="26"/>
      <c r="LN64" s="26"/>
      <c r="LO64" s="26"/>
      <c r="LP64" s="26"/>
      <c r="LQ64" s="26"/>
      <c r="LR64" s="26"/>
      <c r="LS64" s="26"/>
      <c r="LT64" s="26"/>
      <c r="LU64" s="26"/>
      <c r="LV64" s="26"/>
      <c r="LW64" s="26"/>
      <c r="LX64" s="26"/>
      <c r="LY64" s="26"/>
      <c r="LZ64" s="26"/>
      <c r="MA64" s="26"/>
      <c r="MB64" s="26"/>
      <c r="MC64" s="26"/>
      <c r="MD64" s="26"/>
      <c r="ME64" s="26"/>
      <c r="MF64" s="26"/>
      <c r="MG64" s="26"/>
      <c r="MH64" s="26"/>
      <c r="MI64" s="26"/>
      <c r="MJ64" s="26"/>
      <c r="MK64" s="26"/>
      <c r="ML64" s="26"/>
      <c r="MM64" s="26"/>
      <c r="MN64" s="26"/>
      <c r="MO64" s="26"/>
      <c r="MP64" s="26"/>
      <c r="MQ64" s="26"/>
      <c r="MR64" s="26"/>
      <c r="MS64" s="23"/>
      <c r="MT64" s="26"/>
      <c r="MU64" s="26"/>
      <c r="MV64" s="26"/>
      <c r="MW64" s="26"/>
      <c r="MX64" s="26"/>
      <c r="MY64" s="26"/>
      <c r="MZ64" s="26"/>
      <c r="NA64" s="26"/>
      <c r="NB64" s="26"/>
      <c r="NC64" s="26"/>
      <c r="ND64" s="26"/>
      <c r="NE64" s="26"/>
      <c r="NF64" s="26"/>
      <c r="NG64" s="26"/>
      <c r="NH64" s="26"/>
      <c r="NI64" s="26"/>
      <c r="NJ64" s="26"/>
      <c r="NK64" s="26"/>
      <c r="NL64" s="26"/>
      <c r="NM64" s="26"/>
      <c r="NN64" s="26"/>
      <c r="NO64" s="26"/>
      <c r="NP64" s="26"/>
      <c r="NQ64" s="26"/>
      <c r="NR64" s="26"/>
      <c r="NS64" s="26"/>
      <c r="NT64" s="26"/>
      <c r="NU64" s="26"/>
      <c r="NV64" s="26"/>
      <c r="NW64" s="26"/>
      <c r="NX64" s="26"/>
      <c r="NY64" s="26"/>
      <c r="NZ64" s="26"/>
      <c r="OA64" s="26"/>
      <c r="OB64" s="26"/>
      <c r="OC64" s="26"/>
      <c r="OD64" s="26"/>
      <c r="OE64" s="26"/>
      <c r="OF64" s="23"/>
      <c r="OG64" s="26"/>
      <c r="OH64" s="26"/>
      <c r="OI64" s="26"/>
      <c r="OJ64" s="26"/>
      <c r="OK64" s="26"/>
      <c r="OL64" s="26"/>
      <c r="OM64" s="26"/>
      <c r="ON64" s="26"/>
      <c r="OO64" s="26"/>
      <c r="OP64" s="26"/>
      <c r="OQ64" s="26"/>
      <c r="OR64" s="26"/>
      <c r="OS64" s="26"/>
      <c r="OT64" s="26"/>
      <c r="OU64" s="26"/>
      <c r="OV64" s="26"/>
      <c r="OW64" s="26"/>
      <c r="OX64" s="26"/>
      <c r="OY64" s="26"/>
      <c r="OZ64" s="26"/>
      <c r="PA64" s="26"/>
      <c r="PB64" s="26"/>
      <c r="PC64" s="26"/>
      <c r="PD64" s="26"/>
      <c r="PE64" s="26"/>
      <c r="PF64" s="26"/>
      <c r="PG64" s="26"/>
      <c r="PH64" s="26"/>
      <c r="PI64" s="26"/>
      <c r="PJ64" s="26"/>
      <c r="PK64" s="26"/>
      <c r="PL64" s="26"/>
      <c r="PM64" s="26"/>
      <c r="PN64" s="26"/>
      <c r="PO64" s="26"/>
      <c r="PP64" s="26"/>
      <c r="PQ64" s="26"/>
      <c r="PR64" s="26"/>
    </row>
    <row r="65" spans="1:434" x14ac:dyDescent="0.25">
      <c r="A65" s="24"/>
      <c r="B65" s="25" t="s">
        <v>131</v>
      </c>
      <c r="C65" s="24" t="s">
        <v>81</v>
      </c>
      <c r="D65" s="24" t="s">
        <v>76</v>
      </c>
      <c r="E65" s="24"/>
      <c r="F65" s="23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3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3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23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3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3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3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3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3"/>
      <c r="LG65" s="26"/>
      <c r="LH65" s="26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H65" s="26"/>
      <c r="MI65" s="26"/>
      <c r="MJ65" s="26"/>
      <c r="MK65" s="26"/>
      <c r="ML65" s="26"/>
      <c r="MM65" s="26"/>
      <c r="MN65" s="26"/>
      <c r="MO65" s="26"/>
      <c r="MP65" s="26"/>
      <c r="MQ65" s="26"/>
      <c r="MR65" s="26"/>
      <c r="MS65" s="23"/>
      <c r="MT65" s="26"/>
      <c r="MU65" s="26"/>
      <c r="MV65" s="26"/>
      <c r="MW65" s="26"/>
      <c r="MX65" s="26"/>
      <c r="MY65" s="26"/>
      <c r="MZ65" s="26"/>
      <c r="NA65" s="26"/>
      <c r="NB65" s="26"/>
      <c r="NC65" s="26"/>
      <c r="ND65" s="26"/>
      <c r="NE65" s="26"/>
      <c r="NF65" s="26"/>
      <c r="NG65" s="26"/>
      <c r="NH65" s="26"/>
      <c r="NI65" s="26"/>
      <c r="NJ65" s="26"/>
      <c r="NK65" s="26"/>
      <c r="NL65" s="26"/>
      <c r="NM65" s="26"/>
      <c r="NN65" s="26"/>
      <c r="NO65" s="26"/>
      <c r="NP65" s="26"/>
      <c r="NQ65" s="26"/>
      <c r="NR65" s="26"/>
      <c r="NS65" s="26"/>
      <c r="NT65" s="26"/>
      <c r="NU65" s="26"/>
      <c r="NV65" s="26"/>
      <c r="NW65" s="26"/>
      <c r="NX65" s="26"/>
      <c r="NY65" s="26"/>
      <c r="NZ65" s="26"/>
      <c r="OA65" s="26"/>
      <c r="OB65" s="26"/>
      <c r="OC65" s="26"/>
      <c r="OD65" s="26"/>
      <c r="OE65" s="26"/>
      <c r="OF65" s="23"/>
      <c r="OG65" s="26"/>
      <c r="OH65" s="26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26"/>
      <c r="PK65" s="26"/>
      <c r="PL65" s="26"/>
      <c r="PM65" s="26"/>
      <c r="PN65" s="26"/>
      <c r="PO65" s="26"/>
      <c r="PP65" s="26"/>
      <c r="PQ65" s="26"/>
      <c r="PR65" s="26"/>
    </row>
    <row r="66" spans="1:434" ht="21.95" customHeight="1" x14ac:dyDescent="0.25">
      <c r="A66" s="87" t="s">
        <v>132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  <c r="FU66" s="88"/>
      <c r="FV66" s="88"/>
      <c r="FW66" s="88"/>
      <c r="FX66" s="88"/>
      <c r="FY66" s="88"/>
      <c r="FZ66" s="88"/>
      <c r="GA66" s="88"/>
      <c r="GB66" s="88"/>
      <c r="GC66" s="88"/>
      <c r="GD66" s="88"/>
      <c r="GE66" s="88"/>
      <c r="GF66" s="88"/>
      <c r="GG66" s="88"/>
      <c r="GH66" s="88"/>
      <c r="GI66" s="88"/>
      <c r="GJ66" s="88"/>
      <c r="GK66" s="88"/>
      <c r="GL66" s="88"/>
      <c r="GM66" s="88"/>
      <c r="GN66" s="88"/>
      <c r="GO66" s="88"/>
      <c r="GP66" s="88"/>
      <c r="GQ66" s="88"/>
      <c r="GR66" s="88"/>
      <c r="GS66" s="88"/>
      <c r="GT66" s="88"/>
      <c r="GU66" s="88"/>
      <c r="GV66" s="88"/>
      <c r="GW66" s="88"/>
      <c r="GX66" s="88"/>
      <c r="GY66" s="88"/>
      <c r="GZ66" s="88"/>
      <c r="HA66" s="88"/>
      <c r="HB66" s="88"/>
      <c r="HC66" s="88"/>
      <c r="HD66" s="88"/>
      <c r="HE66" s="88"/>
      <c r="HF66" s="88"/>
      <c r="HG66" s="88"/>
      <c r="HH66" s="88"/>
      <c r="HI66" s="88"/>
      <c r="HJ66" s="88"/>
      <c r="HK66" s="88"/>
      <c r="HL66" s="88"/>
      <c r="HM66" s="88"/>
      <c r="HN66" s="88"/>
      <c r="HO66" s="88"/>
      <c r="HP66" s="88"/>
      <c r="HQ66" s="88"/>
      <c r="HR66" s="88"/>
      <c r="HS66" s="88"/>
      <c r="HT66" s="88"/>
      <c r="HU66" s="88"/>
      <c r="HV66" s="88"/>
      <c r="HW66" s="88"/>
      <c r="HX66" s="88"/>
      <c r="HY66" s="88"/>
      <c r="HZ66" s="88"/>
      <c r="IA66" s="88"/>
      <c r="IB66" s="88"/>
      <c r="IC66" s="88"/>
      <c r="ID66" s="88"/>
      <c r="IE66" s="88"/>
      <c r="IF66" s="88"/>
      <c r="IG66" s="88"/>
      <c r="IH66" s="88"/>
      <c r="II66" s="88"/>
      <c r="IJ66" s="88"/>
      <c r="IK66" s="88"/>
      <c r="IL66" s="88"/>
      <c r="IM66" s="88"/>
      <c r="IN66" s="88"/>
      <c r="IO66" s="88"/>
      <c r="IP66" s="88"/>
      <c r="IQ66" s="88"/>
      <c r="IR66" s="88"/>
      <c r="IS66" s="88"/>
      <c r="IT66" s="88"/>
      <c r="IU66" s="88"/>
      <c r="IV66" s="88"/>
      <c r="IW66" s="88"/>
      <c r="IX66" s="88"/>
      <c r="IY66" s="88"/>
      <c r="IZ66" s="88"/>
      <c r="JA66" s="88"/>
      <c r="JB66" s="88"/>
      <c r="JC66" s="88"/>
      <c r="JD66" s="88"/>
      <c r="JE66" s="88"/>
      <c r="JF66" s="88"/>
      <c r="JG66" s="88"/>
      <c r="JH66" s="88"/>
      <c r="JI66" s="88"/>
      <c r="JJ66" s="88"/>
      <c r="JK66" s="88"/>
      <c r="JL66" s="88"/>
      <c r="JM66" s="88"/>
      <c r="JN66" s="88"/>
      <c r="JO66" s="88"/>
      <c r="JP66" s="88"/>
      <c r="JQ66" s="88"/>
      <c r="JR66" s="88"/>
      <c r="JS66" s="88"/>
      <c r="JT66" s="88"/>
      <c r="JU66" s="88"/>
      <c r="JV66" s="88"/>
      <c r="JW66" s="88"/>
      <c r="JX66" s="88"/>
      <c r="JY66" s="88"/>
      <c r="JZ66" s="88"/>
      <c r="KA66" s="88"/>
      <c r="KB66" s="88"/>
      <c r="KC66" s="88"/>
      <c r="KD66" s="88"/>
      <c r="KE66" s="88"/>
      <c r="KF66" s="88"/>
      <c r="KG66" s="88"/>
      <c r="KH66" s="88"/>
      <c r="KI66" s="88"/>
      <c r="KJ66" s="88"/>
      <c r="KK66" s="88"/>
      <c r="KL66" s="88"/>
      <c r="KM66" s="88"/>
      <c r="KN66" s="88"/>
      <c r="KO66" s="88"/>
      <c r="KP66" s="88"/>
      <c r="KQ66" s="88"/>
      <c r="KR66" s="88"/>
      <c r="KS66" s="88"/>
      <c r="KT66" s="88"/>
      <c r="KU66" s="88"/>
      <c r="KV66" s="88"/>
      <c r="KW66" s="88"/>
      <c r="KX66" s="88"/>
      <c r="KY66" s="88"/>
      <c r="KZ66" s="88"/>
      <c r="LA66" s="88"/>
      <c r="LB66" s="88"/>
      <c r="LC66" s="88"/>
      <c r="LD66" s="88"/>
      <c r="LE66" s="88"/>
      <c r="LF66" s="88"/>
      <c r="LG66" s="88"/>
      <c r="LH66" s="88"/>
      <c r="LI66" s="88"/>
      <c r="LJ66" s="88"/>
      <c r="LK66" s="88"/>
      <c r="LL66" s="88"/>
      <c r="LM66" s="88"/>
      <c r="LN66" s="88"/>
      <c r="LO66" s="88"/>
      <c r="LP66" s="88"/>
      <c r="LQ66" s="88"/>
      <c r="LR66" s="88"/>
      <c r="LS66" s="88"/>
      <c r="LT66" s="88"/>
      <c r="LU66" s="88"/>
      <c r="LV66" s="88"/>
      <c r="LW66" s="88"/>
      <c r="LX66" s="88"/>
      <c r="LY66" s="88"/>
      <c r="LZ66" s="88"/>
      <c r="MA66" s="88"/>
      <c r="MB66" s="88"/>
      <c r="MC66" s="88"/>
      <c r="MD66" s="88"/>
      <c r="ME66" s="88"/>
      <c r="MF66" s="88"/>
      <c r="MG66" s="88"/>
      <c r="MH66" s="88"/>
      <c r="MI66" s="88"/>
      <c r="MJ66" s="88"/>
      <c r="MK66" s="88"/>
      <c r="ML66" s="88"/>
      <c r="MM66" s="88"/>
      <c r="MN66" s="88"/>
      <c r="MO66" s="88"/>
      <c r="MP66" s="88"/>
      <c r="MQ66" s="88"/>
      <c r="MR66" s="88"/>
      <c r="MS66" s="88"/>
      <c r="MT66" s="88"/>
      <c r="MU66" s="88"/>
      <c r="MV66" s="88"/>
      <c r="MW66" s="88"/>
      <c r="MX66" s="88"/>
      <c r="MY66" s="88"/>
      <c r="MZ66" s="88"/>
      <c r="NA66" s="88"/>
      <c r="NB66" s="88"/>
      <c r="NC66" s="88"/>
      <c r="ND66" s="88"/>
      <c r="NE66" s="88"/>
      <c r="NF66" s="88"/>
      <c r="NG66" s="88"/>
      <c r="NH66" s="88"/>
      <c r="NI66" s="88"/>
      <c r="NJ66" s="88"/>
      <c r="NK66" s="88"/>
      <c r="NL66" s="88"/>
      <c r="NM66" s="88"/>
      <c r="NN66" s="88"/>
      <c r="NO66" s="88"/>
      <c r="NP66" s="88"/>
      <c r="NQ66" s="88"/>
      <c r="NR66" s="88"/>
      <c r="NS66" s="88"/>
      <c r="NT66" s="88"/>
      <c r="NU66" s="88"/>
      <c r="NV66" s="88"/>
      <c r="NW66" s="88"/>
      <c r="NX66" s="88"/>
      <c r="NY66" s="88"/>
      <c r="NZ66" s="88"/>
      <c r="OA66" s="88"/>
      <c r="OB66" s="88"/>
      <c r="OC66" s="88"/>
      <c r="OD66" s="88"/>
      <c r="OE66" s="88"/>
      <c r="OF66" s="88"/>
      <c r="OG66" s="88"/>
      <c r="OH66" s="88"/>
      <c r="OI66" s="88"/>
      <c r="OJ66" s="88"/>
      <c r="OK66" s="88"/>
      <c r="OL66" s="88"/>
      <c r="OM66" s="88"/>
      <c r="ON66" s="88"/>
      <c r="OO66" s="88"/>
      <c r="OP66" s="88"/>
      <c r="OQ66" s="88"/>
      <c r="OR66" s="88"/>
      <c r="OS66" s="88"/>
      <c r="OT66" s="88"/>
      <c r="OU66" s="88"/>
      <c r="OV66" s="88"/>
      <c r="OW66" s="88"/>
      <c r="OX66" s="88"/>
      <c r="OY66" s="88"/>
      <c r="OZ66" s="88"/>
      <c r="PA66" s="88"/>
      <c r="PB66" s="88"/>
      <c r="PC66" s="88"/>
      <c r="PD66" s="88"/>
      <c r="PE66" s="88"/>
      <c r="PF66" s="88"/>
      <c r="PG66" s="88"/>
      <c r="PH66" s="88"/>
      <c r="PI66" s="88"/>
      <c r="PJ66" s="88"/>
      <c r="PK66" s="88"/>
      <c r="PL66" s="88"/>
      <c r="PM66" s="88"/>
      <c r="PN66" s="88"/>
      <c r="PO66" s="88"/>
      <c r="PP66" s="88"/>
      <c r="PQ66" s="88"/>
      <c r="PR66" s="89"/>
    </row>
    <row r="67" spans="1:434" ht="25.5" x14ac:dyDescent="0.25">
      <c r="A67" s="24"/>
      <c r="B67" s="25" t="s">
        <v>133</v>
      </c>
      <c r="C67" s="24" t="s">
        <v>66</v>
      </c>
      <c r="D67" s="24" t="s">
        <v>73</v>
      </c>
      <c r="E67" s="24"/>
      <c r="F67" s="23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3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3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23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3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3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3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3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3"/>
      <c r="LG67" s="26"/>
      <c r="LH67" s="26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H67" s="26"/>
      <c r="MI67" s="26"/>
      <c r="MJ67" s="26"/>
      <c r="MK67" s="26"/>
      <c r="ML67" s="26"/>
      <c r="MM67" s="26"/>
      <c r="MN67" s="26"/>
      <c r="MO67" s="26"/>
      <c r="MP67" s="26"/>
      <c r="MQ67" s="26"/>
      <c r="MR67" s="26"/>
      <c r="MS67" s="23"/>
      <c r="MT67" s="26"/>
      <c r="MU67" s="26"/>
      <c r="MV67" s="26"/>
      <c r="MW67" s="26"/>
      <c r="MX67" s="26"/>
      <c r="MY67" s="26"/>
      <c r="MZ67" s="26"/>
      <c r="NA67" s="26"/>
      <c r="NB67" s="26"/>
      <c r="NC67" s="26"/>
      <c r="ND67" s="26"/>
      <c r="NE67" s="26"/>
      <c r="NF67" s="26"/>
      <c r="NG67" s="26"/>
      <c r="NH67" s="26"/>
      <c r="NI67" s="26"/>
      <c r="NJ67" s="26"/>
      <c r="NK67" s="26"/>
      <c r="NL67" s="26"/>
      <c r="NM67" s="26"/>
      <c r="NN67" s="26"/>
      <c r="NO67" s="26"/>
      <c r="NP67" s="26"/>
      <c r="NQ67" s="26"/>
      <c r="NR67" s="26"/>
      <c r="NS67" s="26"/>
      <c r="NT67" s="26"/>
      <c r="NU67" s="26"/>
      <c r="NV67" s="26"/>
      <c r="NW67" s="26"/>
      <c r="NX67" s="26"/>
      <c r="NY67" s="26"/>
      <c r="NZ67" s="26"/>
      <c r="OA67" s="26"/>
      <c r="OB67" s="26"/>
      <c r="OC67" s="26"/>
      <c r="OD67" s="26"/>
      <c r="OE67" s="26"/>
      <c r="OF67" s="23"/>
      <c r="OG67" s="26"/>
      <c r="OH67" s="26"/>
      <c r="OI67" s="26"/>
      <c r="OJ67" s="26"/>
      <c r="OK67" s="26"/>
      <c r="OL67" s="26"/>
      <c r="OM67" s="26"/>
      <c r="ON67" s="26"/>
      <c r="OO67" s="26"/>
      <c r="OP67" s="26"/>
      <c r="OQ67" s="26"/>
      <c r="OR67" s="26"/>
      <c r="OS67" s="26"/>
      <c r="OT67" s="26"/>
      <c r="OU67" s="26"/>
      <c r="OV67" s="26"/>
      <c r="OW67" s="26"/>
      <c r="OX67" s="26"/>
      <c r="OY67" s="26"/>
      <c r="OZ67" s="26"/>
      <c r="PA67" s="26"/>
      <c r="PB67" s="26"/>
      <c r="PC67" s="26"/>
      <c r="PD67" s="26"/>
      <c r="PE67" s="26"/>
      <c r="PF67" s="26"/>
      <c r="PG67" s="26"/>
      <c r="PH67" s="26"/>
      <c r="PI67" s="26"/>
      <c r="PJ67" s="26"/>
      <c r="PK67" s="26"/>
      <c r="PL67" s="26"/>
      <c r="PM67" s="26"/>
      <c r="PN67" s="26"/>
      <c r="PO67" s="26"/>
      <c r="PP67" s="26"/>
      <c r="PQ67" s="26"/>
      <c r="PR67" s="26"/>
    </row>
    <row r="68" spans="1:434" ht="25.5" x14ac:dyDescent="0.25">
      <c r="A68" s="24"/>
      <c r="B68" s="25" t="s">
        <v>134</v>
      </c>
      <c r="C68" s="24" t="s">
        <v>70</v>
      </c>
      <c r="D68" s="24" t="s">
        <v>73</v>
      </c>
      <c r="E68" s="24"/>
      <c r="F68" s="23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3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3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23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3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3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3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3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6"/>
      <c r="KR68" s="26"/>
      <c r="KS68" s="26"/>
      <c r="KT68" s="26"/>
      <c r="KU68" s="26"/>
      <c r="KV68" s="26"/>
      <c r="KW68" s="26"/>
      <c r="KX68" s="26"/>
      <c r="KY68" s="26"/>
      <c r="KZ68" s="26"/>
      <c r="LA68" s="26"/>
      <c r="LB68" s="26"/>
      <c r="LC68" s="26"/>
      <c r="LD68" s="26"/>
      <c r="LE68" s="26"/>
      <c r="LF68" s="23"/>
      <c r="LG68" s="26"/>
      <c r="LH68" s="26"/>
      <c r="LI68" s="26"/>
      <c r="LJ68" s="26"/>
      <c r="LK68" s="26"/>
      <c r="LL68" s="26"/>
      <c r="LM68" s="26"/>
      <c r="LN68" s="26"/>
      <c r="LO68" s="26"/>
      <c r="LP68" s="26"/>
      <c r="LQ68" s="26"/>
      <c r="LR68" s="26"/>
      <c r="LS68" s="26"/>
      <c r="LT68" s="26"/>
      <c r="LU68" s="26"/>
      <c r="LV68" s="26"/>
      <c r="LW68" s="26"/>
      <c r="LX68" s="26"/>
      <c r="LY68" s="26"/>
      <c r="LZ68" s="26"/>
      <c r="MA68" s="26"/>
      <c r="MB68" s="26"/>
      <c r="MC68" s="26"/>
      <c r="MD68" s="26"/>
      <c r="ME68" s="26"/>
      <c r="MF68" s="26"/>
      <c r="MG68" s="26"/>
      <c r="MH68" s="26"/>
      <c r="MI68" s="26"/>
      <c r="MJ68" s="26"/>
      <c r="MK68" s="26"/>
      <c r="ML68" s="26"/>
      <c r="MM68" s="26"/>
      <c r="MN68" s="26"/>
      <c r="MO68" s="26"/>
      <c r="MP68" s="26"/>
      <c r="MQ68" s="26"/>
      <c r="MR68" s="26"/>
      <c r="MS68" s="23"/>
      <c r="MT68" s="26"/>
      <c r="MU68" s="26"/>
      <c r="MV68" s="26"/>
      <c r="MW68" s="26"/>
      <c r="MX68" s="26"/>
      <c r="MY68" s="26"/>
      <c r="MZ68" s="26"/>
      <c r="NA68" s="26"/>
      <c r="NB68" s="26"/>
      <c r="NC68" s="26"/>
      <c r="ND68" s="26"/>
      <c r="NE68" s="26"/>
      <c r="NF68" s="26"/>
      <c r="NG68" s="26"/>
      <c r="NH68" s="26"/>
      <c r="NI68" s="26"/>
      <c r="NJ68" s="26"/>
      <c r="NK68" s="26"/>
      <c r="NL68" s="26"/>
      <c r="NM68" s="26"/>
      <c r="NN68" s="26"/>
      <c r="NO68" s="26"/>
      <c r="NP68" s="26"/>
      <c r="NQ68" s="26"/>
      <c r="NR68" s="26"/>
      <c r="NS68" s="26"/>
      <c r="NT68" s="26"/>
      <c r="NU68" s="26"/>
      <c r="NV68" s="26"/>
      <c r="NW68" s="26"/>
      <c r="NX68" s="26"/>
      <c r="NY68" s="26"/>
      <c r="NZ68" s="26"/>
      <c r="OA68" s="26"/>
      <c r="OB68" s="26"/>
      <c r="OC68" s="26"/>
      <c r="OD68" s="26"/>
      <c r="OE68" s="26"/>
      <c r="OF68" s="23"/>
      <c r="OG68" s="26"/>
      <c r="OH68" s="26"/>
      <c r="OI68" s="26"/>
      <c r="OJ68" s="26"/>
      <c r="OK68" s="26"/>
      <c r="OL68" s="26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6"/>
      <c r="PK68" s="26"/>
      <c r="PL68" s="26"/>
      <c r="PM68" s="26"/>
      <c r="PN68" s="26"/>
      <c r="PO68" s="26"/>
      <c r="PP68" s="26"/>
      <c r="PQ68" s="26"/>
      <c r="PR68" s="26"/>
    </row>
    <row r="69" spans="1:434" x14ac:dyDescent="0.25">
      <c r="A69" s="24"/>
      <c r="B69" s="25" t="s">
        <v>135</v>
      </c>
      <c r="C69" s="24" t="s">
        <v>70</v>
      </c>
      <c r="D69" s="24" t="s">
        <v>76</v>
      </c>
      <c r="E69" s="24"/>
      <c r="F69" s="23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3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3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23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3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3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3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3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  <c r="KP69" s="26"/>
      <c r="KQ69" s="26"/>
      <c r="KR69" s="26"/>
      <c r="KS69" s="26"/>
      <c r="KT69" s="26"/>
      <c r="KU69" s="26"/>
      <c r="KV69" s="26"/>
      <c r="KW69" s="26"/>
      <c r="KX69" s="26"/>
      <c r="KY69" s="26"/>
      <c r="KZ69" s="26"/>
      <c r="LA69" s="26"/>
      <c r="LB69" s="26"/>
      <c r="LC69" s="26"/>
      <c r="LD69" s="26"/>
      <c r="LE69" s="26"/>
      <c r="LF69" s="23"/>
      <c r="LG69" s="26"/>
      <c r="LH69" s="26"/>
      <c r="LI69" s="26"/>
      <c r="LJ69" s="26"/>
      <c r="LK69" s="26"/>
      <c r="LL69" s="26"/>
      <c r="LM69" s="26"/>
      <c r="LN69" s="26"/>
      <c r="LO69" s="26"/>
      <c r="LP69" s="26"/>
      <c r="LQ69" s="26"/>
      <c r="LR69" s="26"/>
      <c r="LS69" s="26"/>
      <c r="LT69" s="26"/>
      <c r="LU69" s="26"/>
      <c r="LV69" s="26"/>
      <c r="LW69" s="26"/>
      <c r="LX69" s="26"/>
      <c r="LY69" s="26"/>
      <c r="LZ69" s="26"/>
      <c r="MA69" s="26"/>
      <c r="MB69" s="26"/>
      <c r="MC69" s="26"/>
      <c r="MD69" s="26"/>
      <c r="ME69" s="26"/>
      <c r="MF69" s="26"/>
      <c r="MG69" s="26"/>
      <c r="MH69" s="26"/>
      <c r="MI69" s="26"/>
      <c r="MJ69" s="26"/>
      <c r="MK69" s="26"/>
      <c r="ML69" s="26"/>
      <c r="MM69" s="26"/>
      <c r="MN69" s="26"/>
      <c r="MO69" s="26"/>
      <c r="MP69" s="26"/>
      <c r="MQ69" s="26"/>
      <c r="MR69" s="26"/>
      <c r="MS69" s="23"/>
      <c r="MT69" s="26"/>
      <c r="MU69" s="26"/>
      <c r="MV69" s="26"/>
      <c r="MW69" s="26"/>
      <c r="MX69" s="26"/>
      <c r="MY69" s="26"/>
      <c r="MZ69" s="26"/>
      <c r="NA69" s="26"/>
      <c r="NB69" s="26"/>
      <c r="NC69" s="26"/>
      <c r="ND69" s="26"/>
      <c r="NE69" s="26"/>
      <c r="NF69" s="26"/>
      <c r="NG69" s="26"/>
      <c r="NH69" s="26"/>
      <c r="NI69" s="26"/>
      <c r="NJ69" s="26"/>
      <c r="NK69" s="26"/>
      <c r="NL69" s="26"/>
      <c r="NM69" s="26"/>
      <c r="NN69" s="26"/>
      <c r="NO69" s="26"/>
      <c r="NP69" s="26"/>
      <c r="NQ69" s="26"/>
      <c r="NR69" s="26"/>
      <c r="NS69" s="26"/>
      <c r="NT69" s="26"/>
      <c r="NU69" s="26"/>
      <c r="NV69" s="26"/>
      <c r="NW69" s="26"/>
      <c r="NX69" s="26"/>
      <c r="NY69" s="26"/>
      <c r="NZ69" s="26"/>
      <c r="OA69" s="26"/>
      <c r="OB69" s="26"/>
      <c r="OC69" s="26"/>
      <c r="OD69" s="26"/>
      <c r="OE69" s="26"/>
      <c r="OF69" s="23"/>
      <c r="OG69" s="26"/>
      <c r="OH69" s="26"/>
      <c r="OI69" s="26"/>
      <c r="OJ69" s="26"/>
      <c r="OK69" s="26"/>
      <c r="OL69" s="26"/>
      <c r="OM69" s="26"/>
      <c r="ON69" s="26"/>
      <c r="OO69" s="26"/>
      <c r="OP69" s="26"/>
      <c r="OQ69" s="26"/>
      <c r="OR69" s="26"/>
      <c r="OS69" s="26"/>
      <c r="OT69" s="26"/>
      <c r="OU69" s="26"/>
      <c r="OV69" s="26"/>
      <c r="OW69" s="26"/>
      <c r="OX69" s="26"/>
      <c r="OY69" s="26"/>
      <c r="OZ69" s="26"/>
      <c r="PA69" s="26"/>
      <c r="PB69" s="26"/>
      <c r="PC69" s="26"/>
      <c r="PD69" s="26"/>
      <c r="PE69" s="26"/>
      <c r="PF69" s="26"/>
      <c r="PG69" s="26"/>
      <c r="PH69" s="26"/>
      <c r="PI69" s="26"/>
      <c r="PJ69" s="26"/>
      <c r="PK69" s="26"/>
      <c r="PL69" s="26"/>
      <c r="PM69" s="26"/>
      <c r="PN69" s="26"/>
      <c r="PO69" s="26"/>
      <c r="PP69" s="26"/>
      <c r="PQ69" s="26"/>
      <c r="PR69" s="26"/>
    </row>
    <row r="70" spans="1:434" ht="25.5" x14ac:dyDescent="0.25">
      <c r="A70" s="24"/>
      <c r="B70" s="25" t="s">
        <v>136</v>
      </c>
      <c r="C70" s="24" t="s">
        <v>70</v>
      </c>
      <c r="D70" s="24" t="s">
        <v>73</v>
      </c>
      <c r="E70" s="24"/>
      <c r="F70" s="23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3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3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23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3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3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3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3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6"/>
      <c r="KR70" s="26"/>
      <c r="KS70" s="26"/>
      <c r="KT70" s="26"/>
      <c r="KU70" s="26"/>
      <c r="KV70" s="26"/>
      <c r="KW70" s="26"/>
      <c r="KX70" s="26"/>
      <c r="KY70" s="26"/>
      <c r="KZ70" s="26"/>
      <c r="LA70" s="26"/>
      <c r="LB70" s="26"/>
      <c r="LC70" s="26"/>
      <c r="LD70" s="26"/>
      <c r="LE70" s="26"/>
      <c r="LF70" s="23"/>
      <c r="LG70" s="26"/>
      <c r="LH70" s="26"/>
      <c r="LI70" s="26"/>
      <c r="LJ70" s="26"/>
      <c r="LK70" s="26"/>
      <c r="LL70" s="26"/>
      <c r="LM70" s="26"/>
      <c r="LN70" s="26"/>
      <c r="LO70" s="26"/>
      <c r="LP70" s="26"/>
      <c r="LQ70" s="26"/>
      <c r="LR70" s="26"/>
      <c r="LS70" s="26"/>
      <c r="LT70" s="26"/>
      <c r="LU70" s="26"/>
      <c r="LV70" s="26"/>
      <c r="LW70" s="26"/>
      <c r="LX70" s="26"/>
      <c r="LY70" s="26"/>
      <c r="LZ70" s="26"/>
      <c r="MA70" s="26"/>
      <c r="MB70" s="26"/>
      <c r="MC70" s="26"/>
      <c r="MD70" s="26"/>
      <c r="ME70" s="26"/>
      <c r="MF70" s="26"/>
      <c r="MG70" s="26"/>
      <c r="MH70" s="26"/>
      <c r="MI70" s="26"/>
      <c r="MJ70" s="26"/>
      <c r="MK70" s="26"/>
      <c r="ML70" s="26"/>
      <c r="MM70" s="26"/>
      <c r="MN70" s="26"/>
      <c r="MO70" s="26"/>
      <c r="MP70" s="26"/>
      <c r="MQ70" s="26"/>
      <c r="MR70" s="26"/>
      <c r="MS70" s="23"/>
      <c r="MT70" s="26"/>
      <c r="MU70" s="26"/>
      <c r="MV70" s="26"/>
      <c r="MW70" s="26"/>
      <c r="MX70" s="26"/>
      <c r="MY70" s="26"/>
      <c r="MZ70" s="26"/>
      <c r="NA70" s="26"/>
      <c r="NB70" s="26"/>
      <c r="NC70" s="26"/>
      <c r="ND70" s="26"/>
      <c r="NE70" s="26"/>
      <c r="NF70" s="26"/>
      <c r="NG70" s="26"/>
      <c r="NH70" s="26"/>
      <c r="NI70" s="26"/>
      <c r="NJ70" s="26"/>
      <c r="NK70" s="26"/>
      <c r="NL70" s="26"/>
      <c r="NM70" s="26"/>
      <c r="NN70" s="26"/>
      <c r="NO70" s="26"/>
      <c r="NP70" s="26"/>
      <c r="NQ70" s="26"/>
      <c r="NR70" s="26"/>
      <c r="NS70" s="26"/>
      <c r="NT70" s="26"/>
      <c r="NU70" s="26"/>
      <c r="NV70" s="26"/>
      <c r="NW70" s="26"/>
      <c r="NX70" s="26"/>
      <c r="NY70" s="26"/>
      <c r="NZ70" s="26"/>
      <c r="OA70" s="26"/>
      <c r="OB70" s="26"/>
      <c r="OC70" s="26"/>
      <c r="OD70" s="26"/>
      <c r="OE70" s="26"/>
      <c r="OF70" s="23"/>
      <c r="OG70" s="26"/>
      <c r="OH70" s="26"/>
      <c r="OI70" s="26"/>
      <c r="OJ70" s="26"/>
      <c r="OK70" s="26"/>
      <c r="OL70" s="26"/>
      <c r="OM70" s="26"/>
      <c r="ON70" s="26"/>
      <c r="OO70" s="26"/>
      <c r="OP70" s="26"/>
      <c r="OQ70" s="26"/>
      <c r="OR70" s="26"/>
      <c r="OS70" s="26"/>
      <c r="OT70" s="26"/>
      <c r="OU70" s="26"/>
      <c r="OV70" s="26"/>
      <c r="OW70" s="26"/>
      <c r="OX70" s="26"/>
      <c r="OY70" s="26"/>
      <c r="OZ70" s="26"/>
      <c r="PA70" s="26"/>
      <c r="PB70" s="26"/>
      <c r="PC70" s="26"/>
      <c r="PD70" s="26"/>
      <c r="PE70" s="26"/>
      <c r="PF70" s="26"/>
      <c r="PG70" s="26"/>
      <c r="PH70" s="26"/>
      <c r="PI70" s="26"/>
      <c r="PJ70" s="26"/>
      <c r="PK70" s="26"/>
      <c r="PL70" s="26"/>
      <c r="PM70" s="26"/>
      <c r="PN70" s="26"/>
      <c r="PO70" s="26"/>
      <c r="PP70" s="26"/>
      <c r="PQ70" s="26"/>
      <c r="PR70" s="26"/>
    </row>
    <row r="71" spans="1:434" x14ac:dyDescent="0.25">
      <c r="A71" s="24"/>
      <c r="B71" s="25" t="s">
        <v>137</v>
      </c>
      <c r="C71" s="24" t="s">
        <v>66</v>
      </c>
      <c r="D71" s="24" t="s">
        <v>67</v>
      </c>
      <c r="E71" s="24"/>
      <c r="F71" s="23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3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3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23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3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3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3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3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3"/>
      <c r="LG71" s="26"/>
      <c r="LH71" s="26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H71" s="26"/>
      <c r="MI71" s="26"/>
      <c r="MJ71" s="26"/>
      <c r="MK71" s="26"/>
      <c r="ML71" s="26"/>
      <c r="MM71" s="26"/>
      <c r="MN71" s="26"/>
      <c r="MO71" s="26"/>
      <c r="MP71" s="26"/>
      <c r="MQ71" s="26"/>
      <c r="MR71" s="26"/>
      <c r="MS71" s="23"/>
      <c r="MT71" s="26"/>
      <c r="MU71" s="26"/>
      <c r="MV71" s="26"/>
      <c r="MW71" s="26"/>
      <c r="MX71" s="26"/>
      <c r="MY71" s="26"/>
      <c r="MZ71" s="26"/>
      <c r="NA71" s="26"/>
      <c r="NB71" s="26"/>
      <c r="NC71" s="26"/>
      <c r="ND71" s="26"/>
      <c r="NE71" s="26"/>
      <c r="NF71" s="26"/>
      <c r="NG71" s="26"/>
      <c r="NH71" s="26"/>
      <c r="NI71" s="26"/>
      <c r="NJ71" s="26"/>
      <c r="NK71" s="26"/>
      <c r="NL71" s="26"/>
      <c r="NM71" s="26"/>
      <c r="NN71" s="26"/>
      <c r="NO71" s="26"/>
      <c r="NP71" s="26"/>
      <c r="NQ71" s="26"/>
      <c r="NR71" s="26"/>
      <c r="NS71" s="26"/>
      <c r="NT71" s="26"/>
      <c r="NU71" s="26"/>
      <c r="NV71" s="26"/>
      <c r="NW71" s="26"/>
      <c r="NX71" s="26"/>
      <c r="NY71" s="26"/>
      <c r="NZ71" s="26"/>
      <c r="OA71" s="26"/>
      <c r="OB71" s="26"/>
      <c r="OC71" s="26"/>
      <c r="OD71" s="26"/>
      <c r="OE71" s="26"/>
      <c r="OF71" s="23"/>
      <c r="OG71" s="26"/>
      <c r="OH71" s="26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</row>
    <row r="72" spans="1:434" x14ac:dyDescent="0.25">
      <c r="A72" s="24"/>
      <c r="B72" s="25" t="s">
        <v>138</v>
      </c>
      <c r="C72" s="24" t="s">
        <v>70</v>
      </c>
      <c r="D72" s="24" t="s">
        <v>76</v>
      </c>
      <c r="E72" s="24"/>
      <c r="F72" s="23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3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3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23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3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3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3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3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3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3"/>
      <c r="MT72" s="26"/>
      <c r="MU72" s="26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3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</row>
    <row r="73" spans="1:434" x14ac:dyDescent="0.25">
      <c r="A73" s="24"/>
      <c r="B73" s="25" t="s">
        <v>139</v>
      </c>
      <c r="C73" s="24" t="s">
        <v>70</v>
      </c>
      <c r="D73" s="24" t="s">
        <v>76</v>
      </c>
      <c r="E73" s="24"/>
      <c r="F73" s="23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3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3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23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3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3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3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3"/>
      <c r="JT73" s="26"/>
      <c r="JU73" s="26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  <c r="KO73" s="26"/>
      <c r="KP73" s="26"/>
      <c r="KQ73" s="26"/>
      <c r="KR73" s="26"/>
      <c r="KS73" s="26"/>
      <c r="KT73" s="26"/>
      <c r="KU73" s="26"/>
      <c r="KV73" s="26"/>
      <c r="KW73" s="26"/>
      <c r="KX73" s="26"/>
      <c r="KY73" s="26"/>
      <c r="KZ73" s="26"/>
      <c r="LA73" s="26"/>
      <c r="LB73" s="26"/>
      <c r="LC73" s="26"/>
      <c r="LD73" s="26"/>
      <c r="LE73" s="26"/>
      <c r="LF73" s="23"/>
      <c r="LG73" s="26"/>
      <c r="LH73" s="26"/>
      <c r="LI73" s="26"/>
      <c r="LJ73" s="26"/>
      <c r="LK73" s="26"/>
      <c r="LL73" s="26"/>
      <c r="LM73" s="26"/>
      <c r="LN73" s="26"/>
      <c r="LO73" s="26"/>
      <c r="LP73" s="26"/>
      <c r="LQ73" s="26"/>
      <c r="LR73" s="26"/>
      <c r="LS73" s="26"/>
      <c r="LT73" s="26"/>
      <c r="LU73" s="26"/>
      <c r="LV73" s="26"/>
      <c r="LW73" s="26"/>
      <c r="LX73" s="26"/>
      <c r="LY73" s="26"/>
      <c r="LZ73" s="26"/>
      <c r="MA73" s="26"/>
      <c r="MB73" s="26"/>
      <c r="MC73" s="26"/>
      <c r="MD73" s="26"/>
      <c r="ME73" s="26"/>
      <c r="MF73" s="26"/>
      <c r="MG73" s="26"/>
      <c r="MH73" s="26"/>
      <c r="MI73" s="26"/>
      <c r="MJ73" s="26"/>
      <c r="MK73" s="26"/>
      <c r="ML73" s="26"/>
      <c r="MM73" s="26"/>
      <c r="MN73" s="26"/>
      <c r="MO73" s="26"/>
      <c r="MP73" s="26"/>
      <c r="MQ73" s="26"/>
      <c r="MR73" s="26"/>
      <c r="MS73" s="23"/>
      <c r="MT73" s="26"/>
      <c r="MU73" s="26"/>
      <c r="MV73" s="26"/>
      <c r="MW73" s="26"/>
      <c r="MX73" s="26"/>
      <c r="MY73" s="26"/>
      <c r="MZ73" s="26"/>
      <c r="NA73" s="26"/>
      <c r="NB73" s="26"/>
      <c r="NC73" s="26"/>
      <c r="ND73" s="26"/>
      <c r="NE73" s="26"/>
      <c r="NF73" s="26"/>
      <c r="NG73" s="26"/>
      <c r="NH73" s="26"/>
      <c r="NI73" s="26"/>
      <c r="NJ73" s="26"/>
      <c r="NK73" s="26"/>
      <c r="NL73" s="26"/>
      <c r="NM73" s="26"/>
      <c r="NN73" s="26"/>
      <c r="NO73" s="26"/>
      <c r="NP73" s="26"/>
      <c r="NQ73" s="26"/>
      <c r="NR73" s="26"/>
      <c r="NS73" s="26"/>
      <c r="NT73" s="26"/>
      <c r="NU73" s="26"/>
      <c r="NV73" s="26"/>
      <c r="NW73" s="26"/>
      <c r="NX73" s="26"/>
      <c r="NY73" s="26"/>
      <c r="NZ73" s="26"/>
      <c r="OA73" s="26"/>
      <c r="OB73" s="26"/>
      <c r="OC73" s="26"/>
      <c r="OD73" s="26"/>
      <c r="OE73" s="26"/>
      <c r="OF73" s="23"/>
      <c r="OG73" s="26"/>
      <c r="OH73" s="26"/>
      <c r="OI73" s="26"/>
      <c r="OJ73" s="26"/>
      <c r="OK73" s="26"/>
      <c r="OL73" s="26"/>
      <c r="OM73" s="26"/>
      <c r="ON73" s="26"/>
      <c r="OO73" s="26"/>
      <c r="OP73" s="26"/>
      <c r="OQ73" s="26"/>
      <c r="OR73" s="26"/>
      <c r="OS73" s="26"/>
      <c r="OT73" s="26"/>
      <c r="OU73" s="26"/>
      <c r="OV73" s="26"/>
      <c r="OW73" s="26"/>
      <c r="OX73" s="26"/>
      <c r="OY73" s="26"/>
      <c r="OZ73" s="26"/>
      <c r="PA73" s="26"/>
      <c r="PB73" s="26"/>
      <c r="PC73" s="26"/>
      <c r="PD73" s="26"/>
      <c r="PE73" s="26"/>
      <c r="PF73" s="26"/>
      <c r="PG73" s="26"/>
      <c r="PH73" s="26"/>
      <c r="PI73" s="26"/>
      <c r="PJ73" s="26"/>
      <c r="PK73" s="26"/>
      <c r="PL73" s="26"/>
      <c r="PM73" s="26"/>
      <c r="PN73" s="26"/>
      <c r="PO73" s="26"/>
      <c r="PP73" s="26"/>
      <c r="PQ73" s="26"/>
      <c r="PR73" s="26"/>
    </row>
    <row r="74" spans="1:434" ht="25.5" x14ac:dyDescent="0.25">
      <c r="A74" s="24"/>
      <c r="B74" s="25" t="s">
        <v>140</v>
      </c>
      <c r="C74" s="24" t="s">
        <v>81</v>
      </c>
      <c r="D74" s="24" t="s">
        <v>73</v>
      </c>
      <c r="E74" s="24"/>
      <c r="F74" s="23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3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3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23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3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3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3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3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6"/>
      <c r="KR74" s="26"/>
      <c r="KS74" s="26"/>
      <c r="KT74" s="26"/>
      <c r="KU74" s="26"/>
      <c r="KV74" s="26"/>
      <c r="KW74" s="26"/>
      <c r="KX74" s="26"/>
      <c r="KY74" s="26"/>
      <c r="KZ74" s="26"/>
      <c r="LA74" s="26"/>
      <c r="LB74" s="26"/>
      <c r="LC74" s="26"/>
      <c r="LD74" s="26"/>
      <c r="LE74" s="26"/>
      <c r="LF74" s="23"/>
      <c r="LG74" s="26"/>
      <c r="LH74" s="26"/>
      <c r="LI74" s="26"/>
      <c r="LJ74" s="26"/>
      <c r="LK74" s="26"/>
      <c r="LL74" s="26"/>
      <c r="LM74" s="26"/>
      <c r="LN74" s="26"/>
      <c r="LO74" s="26"/>
      <c r="LP74" s="26"/>
      <c r="LQ74" s="26"/>
      <c r="LR74" s="26"/>
      <c r="LS74" s="26"/>
      <c r="LT74" s="26"/>
      <c r="LU74" s="26"/>
      <c r="LV74" s="26"/>
      <c r="LW74" s="26"/>
      <c r="LX74" s="26"/>
      <c r="LY74" s="26"/>
      <c r="LZ74" s="26"/>
      <c r="MA74" s="26"/>
      <c r="MB74" s="26"/>
      <c r="MC74" s="26"/>
      <c r="MD74" s="26"/>
      <c r="ME74" s="26"/>
      <c r="MF74" s="26"/>
      <c r="MG74" s="26"/>
      <c r="MH74" s="26"/>
      <c r="MI74" s="26"/>
      <c r="MJ74" s="26"/>
      <c r="MK74" s="26"/>
      <c r="ML74" s="26"/>
      <c r="MM74" s="26"/>
      <c r="MN74" s="26"/>
      <c r="MO74" s="26"/>
      <c r="MP74" s="26"/>
      <c r="MQ74" s="26"/>
      <c r="MR74" s="26"/>
      <c r="MS74" s="23"/>
      <c r="MT74" s="26"/>
      <c r="MU74" s="26"/>
      <c r="MV74" s="26"/>
      <c r="MW74" s="26"/>
      <c r="MX74" s="26"/>
      <c r="MY74" s="26"/>
      <c r="MZ74" s="26"/>
      <c r="NA74" s="26"/>
      <c r="NB74" s="26"/>
      <c r="NC74" s="26"/>
      <c r="ND74" s="26"/>
      <c r="NE74" s="26"/>
      <c r="NF74" s="26"/>
      <c r="NG74" s="26"/>
      <c r="NH74" s="26"/>
      <c r="NI74" s="26"/>
      <c r="NJ74" s="26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3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6"/>
      <c r="PK74" s="26"/>
      <c r="PL74" s="26"/>
      <c r="PM74" s="26"/>
      <c r="PN74" s="26"/>
      <c r="PO74" s="26"/>
      <c r="PP74" s="26"/>
      <c r="PQ74" s="26"/>
      <c r="PR74" s="26"/>
    </row>
    <row r="75" spans="1:434" x14ac:dyDescent="0.25">
      <c r="A75" s="24"/>
      <c r="B75" s="25" t="s">
        <v>141</v>
      </c>
      <c r="C75" s="24" t="s">
        <v>81</v>
      </c>
      <c r="D75" s="24" t="s">
        <v>76</v>
      </c>
      <c r="E75" s="24"/>
      <c r="F75" s="23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3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3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23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3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3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3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3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3"/>
      <c r="LG75" s="26"/>
      <c r="LH75" s="26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H75" s="26"/>
      <c r="MI75" s="26"/>
      <c r="MJ75" s="26"/>
      <c r="MK75" s="26"/>
      <c r="ML75" s="26"/>
      <c r="MM75" s="26"/>
      <c r="MN75" s="26"/>
      <c r="MO75" s="26"/>
      <c r="MP75" s="26"/>
      <c r="MQ75" s="26"/>
      <c r="MR75" s="26"/>
      <c r="MS75" s="23"/>
      <c r="MT75" s="26"/>
      <c r="MU75" s="26"/>
      <c r="MV75" s="26"/>
      <c r="MW75" s="26"/>
      <c r="MX75" s="26"/>
      <c r="MY75" s="26"/>
      <c r="MZ75" s="26"/>
      <c r="NA75" s="26"/>
      <c r="NB75" s="26"/>
      <c r="NC75" s="26"/>
      <c r="ND75" s="26"/>
      <c r="NE75" s="26"/>
      <c r="NF75" s="26"/>
      <c r="NG75" s="26"/>
      <c r="NH75" s="26"/>
      <c r="NI75" s="26"/>
      <c r="NJ75" s="26"/>
      <c r="NK75" s="26"/>
      <c r="NL75" s="26"/>
      <c r="NM75" s="26"/>
      <c r="NN75" s="26"/>
      <c r="NO75" s="26"/>
      <c r="NP75" s="26"/>
      <c r="NQ75" s="26"/>
      <c r="NR75" s="26"/>
      <c r="NS75" s="26"/>
      <c r="NT75" s="26"/>
      <c r="NU75" s="26"/>
      <c r="NV75" s="26"/>
      <c r="NW75" s="26"/>
      <c r="NX75" s="26"/>
      <c r="NY75" s="26"/>
      <c r="NZ75" s="26"/>
      <c r="OA75" s="26"/>
      <c r="OB75" s="26"/>
      <c r="OC75" s="26"/>
      <c r="OD75" s="26"/>
      <c r="OE75" s="26"/>
      <c r="OF75" s="23"/>
      <c r="OG75" s="26"/>
      <c r="OH75" s="26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  <c r="PQ75" s="26"/>
      <c r="PR75" s="26"/>
    </row>
    <row r="76" spans="1:434" ht="21.95" customHeight="1" x14ac:dyDescent="0.25">
      <c r="A76" s="87" t="s">
        <v>142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  <c r="FU76" s="88"/>
      <c r="FV76" s="88"/>
      <c r="FW76" s="88"/>
      <c r="FX76" s="88"/>
      <c r="FY76" s="88"/>
      <c r="FZ76" s="88"/>
      <c r="GA76" s="88"/>
      <c r="GB76" s="88"/>
      <c r="GC76" s="88"/>
      <c r="GD76" s="88"/>
      <c r="GE76" s="88"/>
      <c r="GF76" s="88"/>
      <c r="GG76" s="88"/>
      <c r="GH76" s="88"/>
      <c r="GI76" s="88"/>
      <c r="GJ76" s="88"/>
      <c r="GK76" s="88"/>
      <c r="GL76" s="88"/>
      <c r="GM76" s="88"/>
      <c r="GN76" s="88"/>
      <c r="GO76" s="88"/>
      <c r="GP76" s="88"/>
      <c r="GQ76" s="88"/>
      <c r="GR76" s="88"/>
      <c r="GS76" s="88"/>
      <c r="GT76" s="88"/>
      <c r="GU76" s="88"/>
      <c r="GV76" s="88"/>
      <c r="GW76" s="88"/>
      <c r="GX76" s="88"/>
      <c r="GY76" s="88"/>
      <c r="GZ76" s="88"/>
      <c r="HA76" s="88"/>
      <c r="HB76" s="88"/>
      <c r="HC76" s="88"/>
      <c r="HD76" s="88"/>
      <c r="HE76" s="88"/>
      <c r="HF76" s="88"/>
      <c r="HG76" s="88"/>
      <c r="HH76" s="88"/>
      <c r="HI76" s="88"/>
      <c r="HJ76" s="88"/>
      <c r="HK76" s="88"/>
      <c r="HL76" s="88"/>
      <c r="HM76" s="88"/>
      <c r="HN76" s="88"/>
      <c r="HO76" s="88"/>
      <c r="HP76" s="88"/>
      <c r="HQ76" s="88"/>
      <c r="HR76" s="88"/>
      <c r="HS76" s="88"/>
      <c r="HT76" s="88"/>
      <c r="HU76" s="88"/>
      <c r="HV76" s="88"/>
      <c r="HW76" s="88"/>
      <c r="HX76" s="88"/>
      <c r="HY76" s="88"/>
      <c r="HZ76" s="88"/>
      <c r="IA76" s="88"/>
      <c r="IB76" s="88"/>
      <c r="IC76" s="88"/>
      <c r="ID76" s="88"/>
      <c r="IE76" s="88"/>
      <c r="IF76" s="88"/>
      <c r="IG76" s="88"/>
      <c r="IH76" s="88"/>
      <c r="II76" s="88"/>
      <c r="IJ76" s="88"/>
      <c r="IK76" s="88"/>
      <c r="IL76" s="88"/>
      <c r="IM76" s="88"/>
      <c r="IN76" s="88"/>
      <c r="IO76" s="88"/>
      <c r="IP76" s="88"/>
      <c r="IQ76" s="88"/>
      <c r="IR76" s="88"/>
      <c r="IS76" s="88"/>
      <c r="IT76" s="88"/>
      <c r="IU76" s="88"/>
      <c r="IV76" s="88"/>
      <c r="IW76" s="88"/>
      <c r="IX76" s="88"/>
      <c r="IY76" s="88"/>
      <c r="IZ76" s="88"/>
      <c r="JA76" s="88"/>
      <c r="JB76" s="88"/>
      <c r="JC76" s="88"/>
      <c r="JD76" s="88"/>
      <c r="JE76" s="88"/>
      <c r="JF76" s="88"/>
      <c r="JG76" s="88"/>
      <c r="JH76" s="88"/>
      <c r="JI76" s="88"/>
      <c r="JJ76" s="88"/>
      <c r="JK76" s="88"/>
      <c r="JL76" s="88"/>
      <c r="JM76" s="88"/>
      <c r="JN76" s="88"/>
      <c r="JO76" s="88"/>
      <c r="JP76" s="88"/>
      <c r="JQ76" s="88"/>
      <c r="JR76" s="88"/>
      <c r="JS76" s="88"/>
      <c r="JT76" s="88"/>
      <c r="JU76" s="88"/>
      <c r="JV76" s="88"/>
      <c r="JW76" s="88"/>
      <c r="JX76" s="88"/>
      <c r="JY76" s="88"/>
      <c r="JZ76" s="88"/>
      <c r="KA76" s="88"/>
      <c r="KB76" s="88"/>
      <c r="KC76" s="88"/>
      <c r="KD76" s="88"/>
      <c r="KE76" s="88"/>
      <c r="KF76" s="88"/>
      <c r="KG76" s="88"/>
      <c r="KH76" s="88"/>
      <c r="KI76" s="88"/>
      <c r="KJ76" s="88"/>
      <c r="KK76" s="88"/>
      <c r="KL76" s="88"/>
      <c r="KM76" s="88"/>
      <c r="KN76" s="88"/>
      <c r="KO76" s="88"/>
      <c r="KP76" s="88"/>
      <c r="KQ76" s="88"/>
      <c r="KR76" s="88"/>
      <c r="KS76" s="88"/>
      <c r="KT76" s="88"/>
      <c r="KU76" s="88"/>
      <c r="KV76" s="88"/>
      <c r="KW76" s="88"/>
      <c r="KX76" s="88"/>
      <c r="KY76" s="88"/>
      <c r="KZ76" s="88"/>
      <c r="LA76" s="88"/>
      <c r="LB76" s="88"/>
      <c r="LC76" s="88"/>
      <c r="LD76" s="88"/>
      <c r="LE76" s="88"/>
      <c r="LF76" s="88"/>
      <c r="LG76" s="88"/>
      <c r="LH76" s="88"/>
      <c r="LI76" s="88"/>
      <c r="LJ76" s="88"/>
      <c r="LK76" s="88"/>
      <c r="LL76" s="88"/>
      <c r="LM76" s="88"/>
      <c r="LN76" s="88"/>
      <c r="LO76" s="88"/>
      <c r="LP76" s="88"/>
      <c r="LQ76" s="88"/>
      <c r="LR76" s="88"/>
      <c r="LS76" s="88"/>
      <c r="LT76" s="88"/>
      <c r="LU76" s="88"/>
      <c r="LV76" s="88"/>
      <c r="LW76" s="88"/>
      <c r="LX76" s="88"/>
      <c r="LY76" s="88"/>
      <c r="LZ76" s="88"/>
      <c r="MA76" s="88"/>
      <c r="MB76" s="88"/>
      <c r="MC76" s="88"/>
      <c r="MD76" s="88"/>
      <c r="ME76" s="88"/>
      <c r="MF76" s="88"/>
      <c r="MG76" s="88"/>
      <c r="MH76" s="88"/>
      <c r="MI76" s="88"/>
      <c r="MJ76" s="88"/>
      <c r="MK76" s="88"/>
      <c r="ML76" s="88"/>
      <c r="MM76" s="88"/>
      <c r="MN76" s="88"/>
      <c r="MO76" s="88"/>
      <c r="MP76" s="88"/>
      <c r="MQ76" s="88"/>
      <c r="MR76" s="88"/>
      <c r="MS76" s="88"/>
      <c r="MT76" s="88"/>
      <c r="MU76" s="88"/>
      <c r="MV76" s="88"/>
      <c r="MW76" s="88"/>
      <c r="MX76" s="88"/>
      <c r="MY76" s="88"/>
      <c r="MZ76" s="88"/>
      <c r="NA76" s="88"/>
      <c r="NB76" s="88"/>
      <c r="NC76" s="88"/>
      <c r="ND76" s="88"/>
      <c r="NE76" s="88"/>
      <c r="NF76" s="88"/>
      <c r="NG76" s="88"/>
      <c r="NH76" s="88"/>
      <c r="NI76" s="88"/>
      <c r="NJ76" s="88"/>
      <c r="NK76" s="88"/>
      <c r="NL76" s="88"/>
      <c r="NM76" s="88"/>
      <c r="NN76" s="88"/>
      <c r="NO76" s="88"/>
      <c r="NP76" s="88"/>
      <c r="NQ76" s="88"/>
      <c r="NR76" s="88"/>
      <c r="NS76" s="88"/>
      <c r="NT76" s="88"/>
      <c r="NU76" s="88"/>
      <c r="NV76" s="88"/>
      <c r="NW76" s="88"/>
      <c r="NX76" s="88"/>
      <c r="NY76" s="88"/>
      <c r="NZ76" s="88"/>
      <c r="OA76" s="88"/>
      <c r="OB76" s="88"/>
      <c r="OC76" s="88"/>
      <c r="OD76" s="88"/>
      <c r="OE76" s="88"/>
      <c r="OF76" s="88"/>
      <c r="OG76" s="88"/>
      <c r="OH76" s="88"/>
      <c r="OI76" s="88"/>
      <c r="OJ76" s="88"/>
      <c r="OK76" s="88"/>
      <c r="OL76" s="88"/>
      <c r="OM76" s="88"/>
      <c r="ON76" s="88"/>
      <c r="OO76" s="88"/>
      <c r="OP76" s="88"/>
      <c r="OQ76" s="88"/>
      <c r="OR76" s="88"/>
      <c r="OS76" s="88"/>
      <c r="OT76" s="88"/>
      <c r="OU76" s="88"/>
      <c r="OV76" s="88"/>
      <c r="OW76" s="88"/>
      <c r="OX76" s="88"/>
      <c r="OY76" s="88"/>
      <c r="OZ76" s="88"/>
      <c r="PA76" s="88"/>
      <c r="PB76" s="88"/>
      <c r="PC76" s="88"/>
      <c r="PD76" s="88"/>
      <c r="PE76" s="88"/>
      <c r="PF76" s="88"/>
      <c r="PG76" s="88"/>
      <c r="PH76" s="88"/>
      <c r="PI76" s="88"/>
      <c r="PJ76" s="88"/>
      <c r="PK76" s="88"/>
      <c r="PL76" s="88"/>
      <c r="PM76" s="88"/>
      <c r="PN76" s="88"/>
      <c r="PO76" s="88"/>
      <c r="PP76" s="88"/>
      <c r="PQ76" s="88"/>
      <c r="PR76" s="89"/>
    </row>
    <row r="77" spans="1:434" x14ac:dyDescent="0.25">
      <c r="A77" s="24"/>
      <c r="B77" s="25" t="s">
        <v>143</v>
      </c>
      <c r="C77" s="24" t="s">
        <v>66</v>
      </c>
      <c r="D77" s="24" t="s">
        <v>76</v>
      </c>
      <c r="E77" s="24"/>
      <c r="F77" s="23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3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3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23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3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3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3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3"/>
      <c r="JT77" s="26"/>
      <c r="JU77" s="26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  <c r="KO77" s="26"/>
      <c r="KP77" s="26"/>
      <c r="KQ77" s="26"/>
      <c r="KR77" s="26"/>
      <c r="KS77" s="26"/>
      <c r="KT77" s="26"/>
      <c r="KU77" s="26"/>
      <c r="KV77" s="26"/>
      <c r="KW77" s="26"/>
      <c r="KX77" s="26"/>
      <c r="KY77" s="26"/>
      <c r="KZ77" s="26"/>
      <c r="LA77" s="26"/>
      <c r="LB77" s="26"/>
      <c r="LC77" s="26"/>
      <c r="LD77" s="26"/>
      <c r="LE77" s="26"/>
      <c r="LF77" s="23"/>
      <c r="LG77" s="26"/>
      <c r="LH77" s="26"/>
      <c r="LI77" s="26"/>
      <c r="LJ77" s="26"/>
      <c r="LK77" s="26"/>
      <c r="LL77" s="26"/>
      <c r="LM77" s="26"/>
      <c r="LN77" s="26"/>
      <c r="LO77" s="26"/>
      <c r="LP77" s="26"/>
      <c r="LQ77" s="26"/>
      <c r="LR77" s="26"/>
      <c r="LS77" s="26"/>
      <c r="LT77" s="26"/>
      <c r="LU77" s="26"/>
      <c r="LV77" s="26"/>
      <c r="LW77" s="26"/>
      <c r="LX77" s="26"/>
      <c r="LY77" s="26"/>
      <c r="LZ77" s="26"/>
      <c r="MA77" s="26"/>
      <c r="MB77" s="26"/>
      <c r="MC77" s="26"/>
      <c r="MD77" s="26"/>
      <c r="ME77" s="26"/>
      <c r="MF77" s="26"/>
      <c r="MG77" s="26"/>
      <c r="MH77" s="26"/>
      <c r="MI77" s="26"/>
      <c r="MJ77" s="26"/>
      <c r="MK77" s="26"/>
      <c r="ML77" s="26"/>
      <c r="MM77" s="26"/>
      <c r="MN77" s="26"/>
      <c r="MO77" s="26"/>
      <c r="MP77" s="26"/>
      <c r="MQ77" s="26"/>
      <c r="MR77" s="26"/>
      <c r="MS77" s="23"/>
      <c r="MT77" s="26"/>
      <c r="MU77" s="26"/>
      <c r="MV77" s="26"/>
      <c r="MW77" s="26"/>
      <c r="MX77" s="26"/>
      <c r="MY77" s="26"/>
      <c r="MZ77" s="26"/>
      <c r="NA77" s="26"/>
      <c r="NB77" s="26"/>
      <c r="NC77" s="26"/>
      <c r="ND77" s="26"/>
      <c r="NE77" s="26"/>
      <c r="NF77" s="26"/>
      <c r="NG77" s="26"/>
      <c r="NH77" s="26"/>
      <c r="NI77" s="26"/>
      <c r="NJ77" s="26"/>
      <c r="NK77" s="26"/>
      <c r="NL77" s="26"/>
      <c r="NM77" s="26"/>
      <c r="NN77" s="26"/>
      <c r="NO77" s="26"/>
      <c r="NP77" s="26"/>
      <c r="NQ77" s="26"/>
      <c r="NR77" s="26"/>
      <c r="NS77" s="26"/>
      <c r="NT77" s="26"/>
      <c r="NU77" s="26"/>
      <c r="NV77" s="26"/>
      <c r="NW77" s="26"/>
      <c r="NX77" s="26"/>
      <c r="NY77" s="26"/>
      <c r="NZ77" s="26"/>
      <c r="OA77" s="26"/>
      <c r="OB77" s="26"/>
      <c r="OC77" s="26"/>
      <c r="OD77" s="26"/>
      <c r="OE77" s="26"/>
      <c r="OF77" s="23"/>
      <c r="OG77" s="26"/>
      <c r="OH77" s="26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6"/>
      <c r="PK77" s="26"/>
      <c r="PL77" s="26"/>
      <c r="PM77" s="26"/>
      <c r="PN77" s="26"/>
      <c r="PO77" s="26"/>
      <c r="PP77" s="26"/>
      <c r="PQ77" s="26"/>
      <c r="PR77" s="26"/>
    </row>
    <row r="78" spans="1:434" x14ac:dyDescent="0.25">
      <c r="A78" s="24"/>
      <c r="B78" s="25" t="s">
        <v>144</v>
      </c>
      <c r="C78" s="24" t="s">
        <v>70</v>
      </c>
      <c r="D78" s="24" t="s">
        <v>76</v>
      </c>
      <c r="E78" s="24"/>
      <c r="F78" s="23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3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3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23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3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3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3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3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3"/>
      <c r="LG78" s="26"/>
      <c r="LH78" s="26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H78" s="26"/>
      <c r="MI78" s="26"/>
      <c r="MJ78" s="26"/>
      <c r="MK78" s="26"/>
      <c r="ML78" s="26"/>
      <c r="MM78" s="26"/>
      <c r="MN78" s="26"/>
      <c r="MO78" s="26"/>
      <c r="MP78" s="26"/>
      <c r="MQ78" s="26"/>
      <c r="MR78" s="26"/>
      <c r="MS78" s="23"/>
      <c r="MT78" s="26"/>
      <c r="MU78" s="26"/>
      <c r="MV78" s="26"/>
      <c r="MW78" s="26"/>
      <c r="MX78" s="26"/>
      <c r="MY78" s="26"/>
      <c r="MZ78" s="26"/>
      <c r="NA78" s="26"/>
      <c r="NB78" s="26"/>
      <c r="NC78" s="26"/>
      <c r="ND78" s="26"/>
      <c r="NE78" s="26"/>
      <c r="NF78" s="26"/>
      <c r="NG78" s="26"/>
      <c r="NH78" s="26"/>
      <c r="NI78" s="26"/>
      <c r="NJ78" s="26"/>
      <c r="NK78" s="26"/>
      <c r="NL78" s="26"/>
      <c r="NM78" s="26"/>
      <c r="NN78" s="26"/>
      <c r="NO78" s="26"/>
      <c r="NP78" s="26"/>
      <c r="NQ78" s="26"/>
      <c r="NR78" s="26"/>
      <c r="NS78" s="26"/>
      <c r="NT78" s="26"/>
      <c r="NU78" s="26"/>
      <c r="NV78" s="26"/>
      <c r="NW78" s="26"/>
      <c r="NX78" s="26"/>
      <c r="NY78" s="26"/>
      <c r="NZ78" s="26"/>
      <c r="OA78" s="26"/>
      <c r="OB78" s="26"/>
      <c r="OC78" s="26"/>
      <c r="OD78" s="26"/>
      <c r="OE78" s="26"/>
      <c r="OF78" s="23"/>
      <c r="OG78" s="26"/>
      <c r="OH78" s="26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  <c r="PQ78" s="26"/>
      <c r="PR78" s="26"/>
    </row>
    <row r="79" spans="1:434" x14ac:dyDescent="0.25">
      <c r="A79" s="24"/>
      <c r="B79" s="25" t="s">
        <v>145</v>
      </c>
      <c r="C79" s="24" t="s">
        <v>66</v>
      </c>
      <c r="D79" s="24" t="s">
        <v>76</v>
      </c>
      <c r="E79" s="24"/>
      <c r="F79" s="23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3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3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23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3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3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3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6"/>
      <c r="JO79" s="26"/>
      <c r="JP79" s="26"/>
      <c r="JQ79" s="26"/>
      <c r="JR79" s="26"/>
      <c r="JS79" s="23"/>
      <c r="JT79" s="26"/>
      <c r="JU79" s="26"/>
      <c r="JV79" s="26"/>
      <c r="JW79" s="26"/>
      <c r="JX79" s="26"/>
      <c r="JY79" s="26"/>
      <c r="JZ79" s="26"/>
      <c r="KA79" s="26"/>
      <c r="KB79" s="26"/>
      <c r="KC79" s="26"/>
      <c r="KD79" s="26"/>
      <c r="KE79" s="26"/>
      <c r="KF79" s="26"/>
      <c r="KG79" s="26"/>
      <c r="KH79" s="26"/>
      <c r="KI79" s="26"/>
      <c r="KJ79" s="26"/>
      <c r="KK79" s="26"/>
      <c r="KL79" s="26"/>
      <c r="KM79" s="26"/>
      <c r="KN79" s="26"/>
      <c r="KO79" s="26"/>
      <c r="KP79" s="26"/>
      <c r="KQ79" s="26"/>
      <c r="KR79" s="26"/>
      <c r="KS79" s="26"/>
      <c r="KT79" s="26"/>
      <c r="KU79" s="26"/>
      <c r="KV79" s="26"/>
      <c r="KW79" s="26"/>
      <c r="KX79" s="26"/>
      <c r="KY79" s="26"/>
      <c r="KZ79" s="26"/>
      <c r="LA79" s="26"/>
      <c r="LB79" s="26"/>
      <c r="LC79" s="26"/>
      <c r="LD79" s="26"/>
      <c r="LE79" s="26"/>
      <c r="LF79" s="23"/>
      <c r="LG79" s="26"/>
      <c r="LH79" s="26"/>
      <c r="LI79" s="26"/>
      <c r="LJ79" s="26"/>
      <c r="LK79" s="26"/>
      <c r="LL79" s="26"/>
      <c r="LM79" s="26"/>
      <c r="LN79" s="26"/>
      <c r="LO79" s="26"/>
      <c r="LP79" s="26"/>
      <c r="LQ79" s="26"/>
      <c r="LR79" s="26"/>
      <c r="LS79" s="26"/>
      <c r="LT79" s="26"/>
      <c r="LU79" s="26"/>
      <c r="LV79" s="26"/>
      <c r="LW79" s="26"/>
      <c r="LX79" s="26"/>
      <c r="LY79" s="26"/>
      <c r="LZ79" s="26"/>
      <c r="MA79" s="26"/>
      <c r="MB79" s="26"/>
      <c r="MC79" s="26"/>
      <c r="MD79" s="26"/>
      <c r="ME79" s="26"/>
      <c r="MF79" s="26"/>
      <c r="MG79" s="26"/>
      <c r="MH79" s="26"/>
      <c r="MI79" s="26"/>
      <c r="MJ79" s="26"/>
      <c r="MK79" s="26"/>
      <c r="ML79" s="26"/>
      <c r="MM79" s="26"/>
      <c r="MN79" s="26"/>
      <c r="MO79" s="26"/>
      <c r="MP79" s="26"/>
      <c r="MQ79" s="26"/>
      <c r="MR79" s="26"/>
      <c r="MS79" s="23"/>
      <c r="MT79" s="26"/>
      <c r="MU79" s="26"/>
      <c r="MV79" s="26"/>
      <c r="MW79" s="26"/>
      <c r="MX79" s="26"/>
      <c r="MY79" s="26"/>
      <c r="MZ79" s="26"/>
      <c r="NA79" s="26"/>
      <c r="NB79" s="26"/>
      <c r="NC79" s="26"/>
      <c r="ND79" s="26"/>
      <c r="NE79" s="26"/>
      <c r="NF79" s="26"/>
      <c r="NG79" s="26"/>
      <c r="NH79" s="26"/>
      <c r="NI79" s="26"/>
      <c r="NJ79" s="26"/>
      <c r="NK79" s="26"/>
      <c r="NL79" s="26"/>
      <c r="NM79" s="26"/>
      <c r="NN79" s="26"/>
      <c r="NO79" s="26"/>
      <c r="NP79" s="26"/>
      <c r="NQ79" s="26"/>
      <c r="NR79" s="26"/>
      <c r="NS79" s="26"/>
      <c r="NT79" s="26"/>
      <c r="NU79" s="26"/>
      <c r="NV79" s="26"/>
      <c r="NW79" s="26"/>
      <c r="NX79" s="26"/>
      <c r="NY79" s="26"/>
      <c r="NZ79" s="26"/>
      <c r="OA79" s="26"/>
      <c r="OB79" s="26"/>
      <c r="OC79" s="26"/>
      <c r="OD79" s="26"/>
      <c r="OE79" s="26"/>
      <c r="OF79" s="23"/>
      <c r="OG79" s="26"/>
      <c r="OH79" s="26"/>
      <c r="OI79" s="26"/>
      <c r="OJ79" s="26"/>
      <c r="OK79" s="26"/>
      <c r="OL79" s="26"/>
      <c r="OM79" s="26"/>
      <c r="ON79" s="26"/>
      <c r="OO79" s="26"/>
      <c r="OP79" s="26"/>
      <c r="OQ79" s="26"/>
      <c r="OR79" s="26"/>
      <c r="OS79" s="26"/>
      <c r="OT79" s="26"/>
      <c r="OU79" s="26"/>
      <c r="OV79" s="26"/>
      <c r="OW79" s="26"/>
      <c r="OX79" s="26"/>
      <c r="OY79" s="26"/>
      <c r="OZ79" s="26"/>
      <c r="PA79" s="26"/>
      <c r="PB79" s="26"/>
      <c r="PC79" s="26"/>
      <c r="PD79" s="26"/>
      <c r="PE79" s="26"/>
      <c r="PF79" s="26"/>
      <c r="PG79" s="26"/>
      <c r="PH79" s="26"/>
      <c r="PI79" s="26"/>
      <c r="PJ79" s="26"/>
      <c r="PK79" s="26"/>
      <c r="PL79" s="26"/>
      <c r="PM79" s="26"/>
      <c r="PN79" s="26"/>
      <c r="PO79" s="26"/>
      <c r="PP79" s="26"/>
      <c r="PQ79" s="26"/>
      <c r="PR79" s="26"/>
    </row>
    <row r="80" spans="1:434" x14ac:dyDescent="0.25">
      <c r="A80" s="24"/>
      <c r="B80" s="25" t="s">
        <v>146</v>
      </c>
      <c r="C80" s="24" t="s">
        <v>70</v>
      </c>
      <c r="D80" s="24" t="s">
        <v>76</v>
      </c>
      <c r="E80" s="24"/>
      <c r="F80" s="23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3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3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23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3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3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3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3"/>
      <c r="JT80" s="26"/>
      <c r="JU80" s="26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  <c r="KO80" s="26"/>
      <c r="KP80" s="26"/>
      <c r="KQ80" s="26"/>
      <c r="KR80" s="26"/>
      <c r="KS80" s="26"/>
      <c r="KT80" s="26"/>
      <c r="KU80" s="26"/>
      <c r="KV80" s="26"/>
      <c r="KW80" s="26"/>
      <c r="KX80" s="26"/>
      <c r="KY80" s="26"/>
      <c r="KZ80" s="26"/>
      <c r="LA80" s="26"/>
      <c r="LB80" s="26"/>
      <c r="LC80" s="26"/>
      <c r="LD80" s="26"/>
      <c r="LE80" s="26"/>
      <c r="LF80" s="23"/>
      <c r="LG80" s="26"/>
      <c r="LH80" s="26"/>
      <c r="LI80" s="26"/>
      <c r="LJ80" s="26"/>
      <c r="LK80" s="26"/>
      <c r="LL80" s="26"/>
      <c r="LM80" s="26"/>
      <c r="LN80" s="26"/>
      <c r="LO80" s="26"/>
      <c r="LP80" s="26"/>
      <c r="LQ80" s="26"/>
      <c r="LR80" s="26"/>
      <c r="LS80" s="26"/>
      <c r="LT80" s="26"/>
      <c r="LU80" s="26"/>
      <c r="LV80" s="26"/>
      <c r="LW80" s="26"/>
      <c r="LX80" s="26"/>
      <c r="LY80" s="26"/>
      <c r="LZ80" s="26"/>
      <c r="MA80" s="26"/>
      <c r="MB80" s="26"/>
      <c r="MC80" s="26"/>
      <c r="MD80" s="26"/>
      <c r="ME80" s="26"/>
      <c r="MF80" s="26"/>
      <c r="MG80" s="26"/>
      <c r="MH80" s="26"/>
      <c r="MI80" s="26"/>
      <c r="MJ80" s="26"/>
      <c r="MK80" s="26"/>
      <c r="ML80" s="26"/>
      <c r="MM80" s="26"/>
      <c r="MN80" s="26"/>
      <c r="MO80" s="26"/>
      <c r="MP80" s="26"/>
      <c r="MQ80" s="26"/>
      <c r="MR80" s="26"/>
      <c r="MS80" s="23"/>
      <c r="MT80" s="26"/>
      <c r="MU80" s="26"/>
      <c r="MV80" s="26"/>
      <c r="MW80" s="26"/>
      <c r="MX80" s="26"/>
      <c r="MY80" s="26"/>
      <c r="MZ80" s="26"/>
      <c r="NA80" s="26"/>
      <c r="NB80" s="26"/>
      <c r="NC80" s="26"/>
      <c r="ND80" s="26"/>
      <c r="NE80" s="26"/>
      <c r="NF80" s="26"/>
      <c r="NG80" s="26"/>
      <c r="NH80" s="26"/>
      <c r="NI80" s="26"/>
      <c r="NJ80" s="26"/>
      <c r="NK80" s="26"/>
      <c r="NL80" s="26"/>
      <c r="NM80" s="26"/>
      <c r="NN80" s="26"/>
      <c r="NO80" s="26"/>
      <c r="NP80" s="26"/>
      <c r="NQ80" s="26"/>
      <c r="NR80" s="26"/>
      <c r="NS80" s="26"/>
      <c r="NT80" s="26"/>
      <c r="NU80" s="26"/>
      <c r="NV80" s="26"/>
      <c r="NW80" s="26"/>
      <c r="NX80" s="26"/>
      <c r="NY80" s="26"/>
      <c r="NZ80" s="26"/>
      <c r="OA80" s="26"/>
      <c r="OB80" s="26"/>
      <c r="OC80" s="26"/>
      <c r="OD80" s="26"/>
      <c r="OE80" s="26"/>
      <c r="OF80" s="23"/>
      <c r="OG80" s="26"/>
      <c r="OH80" s="26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26"/>
      <c r="PK80" s="26"/>
      <c r="PL80" s="26"/>
      <c r="PM80" s="26"/>
      <c r="PN80" s="26"/>
      <c r="PO80" s="26"/>
      <c r="PP80" s="26"/>
      <c r="PQ80" s="26"/>
      <c r="PR80" s="26"/>
    </row>
    <row r="81" spans="1:434" x14ac:dyDescent="0.25">
      <c r="A81" s="24"/>
      <c r="B81" s="25" t="s">
        <v>147</v>
      </c>
      <c r="C81" s="24" t="s">
        <v>66</v>
      </c>
      <c r="D81" s="24" t="s">
        <v>76</v>
      </c>
      <c r="E81" s="24"/>
      <c r="F81" s="23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3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3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23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3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3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3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3"/>
      <c r="JT81" s="26"/>
      <c r="JU81" s="26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  <c r="KO81" s="26"/>
      <c r="KP81" s="26"/>
      <c r="KQ81" s="26"/>
      <c r="KR81" s="26"/>
      <c r="KS81" s="26"/>
      <c r="KT81" s="26"/>
      <c r="KU81" s="26"/>
      <c r="KV81" s="26"/>
      <c r="KW81" s="26"/>
      <c r="KX81" s="26"/>
      <c r="KY81" s="26"/>
      <c r="KZ81" s="26"/>
      <c r="LA81" s="26"/>
      <c r="LB81" s="26"/>
      <c r="LC81" s="26"/>
      <c r="LD81" s="26"/>
      <c r="LE81" s="26"/>
      <c r="LF81" s="23"/>
      <c r="LG81" s="26"/>
      <c r="LH81" s="26"/>
      <c r="LI81" s="26"/>
      <c r="LJ81" s="26"/>
      <c r="LK81" s="26"/>
      <c r="LL81" s="26"/>
      <c r="LM81" s="26"/>
      <c r="LN81" s="26"/>
      <c r="LO81" s="26"/>
      <c r="LP81" s="26"/>
      <c r="LQ81" s="26"/>
      <c r="LR81" s="26"/>
      <c r="LS81" s="26"/>
      <c r="LT81" s="26"/>
      <c r="LU81" s="26"/>
      <c r="LV81" s="26"/>
      <c r="LW81" s="26"/>
      <c r="LX81" s="26"/>
      <c r="LY81" s="26"/>
      <c r="LZ81" s="26"/>
      <c r="MA81" s="26"/>
      <c r="MB81" s="26"/>
      <c r="MC81" s="26"/>
      <c r="MD81" s="26"/>
      <c r="ME81" s="26"/>
      <c r="MF81" s="26"/>
      <c r="MG81" s="26"/>
      <c r="MH81" s="26"/>
      <c r="MI81" s="26"/>
      <c r="MJ81" s="26"/>
      <c r="MK81" s="26"/>
      <c r="ML81" s="26"/>
      <c r="MM81" s="26"/>
      <c r="MN81" s="26"/>
      <c r="MO81" s="26"/>
      <c r="MP81" s="26"/>
      <c r="MQ81" s="26"/>
      <c r="MR81" s="26"/>
      <c r="MS81" s="23"/>
      <c r="MT81" s="26"/>
      <c r="MU81" s="26"/>
      <c r="MV81" s="26"/>
      <c r="MW81" s="26"/>
      <c r="MX81" s="26"/>
      <c r="MY81" s="26"/>
      <c r="MZ81" s="26"/>
      <c r="NA81" s="26"/>
      <c r="NB81" s="26"/>
      <c r="NC81" s="26"/>
      <c r="ND81" s="26"/>
      <c r="NE81" s="26"/>
      <c r="NF81" s="26"/>
      <c r="NG81" s="26"/>
      <c r="NH81" s="26"/>
      <c r="NI81" s="26"/>
      <c r="NJ81" s="26"/>
      <c r="NK81" s="26"/>
      <c r="NL81" s="26"/>
      <c r="NM81" s="26"/>
      <c r="NN81" s="26"/>
      <c r="NO81" s="26"/>
      <c r="NP81" s="26"/>
      <c r="NQ81" s="26"/>
      <c r="NR81" s="26"/>
      <c r="NS81" s="26"/>
      <c r="NT81" s="26"/>
      <c r="NU81" s="26"/>
      <c r="NV81" s="26"/>
      <c r="NW81" s="26"/>
      <c r="NX81" s="26"/>
      <c r="NY81" s="26"/>
      <c r="NZ81" s="26"/>
      <c r="OA81" s="26"/>
      <c r="OB81" s="26"/>
      <c r="OC81" s="26"/>
      <c r="OD81" s="26"/>
      <c r="OE81" s="26"/>
      <c r="OF81" s="23"/>
      <c r="OG81" s="26"/>
      <c r="OH81" s="26"/>
      <c r="OI81" s="26"/>
      <c r="OJ81" s="26"/>
      <c r="OK81" s="26"/>
      <c r="OL81" s="26"/>
      <c r="OM81" s="26"/>
      <c r="ON81" s="26"/>
      <c r="OO81" s="26"/>
      <c r="OP81" s="26"/>
      <c r="OQ81" s="26"/>
      <c r="OR81" s="26"/>
      <c r="OS81" s="26"/>
      <c r="OT81" s="26"/>
      <c r="OU81" s="26"/>
      <c r="OV81" s="26"/>
      <c r="OW81" s="26"/>
      <c r="OX81" s="26"/>
      <c r="OY81" s="26"/>
      <c r="OZ81" s="26"/>
      <c r="PA81" s="26"/>
      <c r="PB81" s="26"/>
      <c r="PC81" s="26"/>
      <c r="PD81" s="26"/>
      <c r="PE81" s="26"/>
      <c r="PF81" s="26"/>
      <c r="PG81" s="26"/>
      <c r="PH81" s="26"/>
      <c r="PI81" s="26"/>
      <c r="PJ81" s="26"/>
      <c r="PK81" s="26"/>
      <c r="PL81" s="26"/>
      <c r="PM81" s="26"/>
      <c r="PN81" s="26"/>
      <c r="PO81" s="26"/>
      <c r="PP81" s="26"/>
      <c r="PQ81" s="26"/>
      <c r="PR81" s="26"/>
    </row>
    <row r="82" spans="1:434" x14ac:dyDescent="0.25">
      <c r="A82" s="24"/>
      <c r="B82" s="25" t="s">
        <v>148</v>
      </c>
      <c r="C82" s="24" t="s">
        <v>66</v>
      </c>
      <c r="D82" s="24" t="s">
        <v>76</v>
      </c>
      <c r="E82" s="24"/>
      <c r="F82" s="23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3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3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23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3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3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3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3"/>
      <c r="JT82" s="26"/>
      <c r="JU82" s="26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  <c r="KO82" s="26"/>
      <c r="KP82" s="26"/>
      <c r="KQ82" s="26"/>
      <c r="KR82" s="26"/>
      <c r="KS82" s="26"/>
      <c r="KT82" s="26"/>
      <c r="KU82" s="26"/>
      <c r="KV82" s="26"/>
      <c r="KW82" s="26"/>
      <c r="KX82" s="26"/>
      <c r="KY82" s="26"/>
      <c r="KZ82" s="26"/>
      <c r="LA82" s="26"/>
      <c r="LB82" s="26"/>
      <c r="LC82" s="26"/>
      <c r="LD82" s="26"/>
      <c r="LE82" s="26"/>
      <c r="LF82" s="23"/>
      <c r="LG82" s="26"/>
      <c r="LH82" s="26"/>
      <c r="LI82" s="26"/>
      <c r="LJ82" s="26"/>
      <c r="LK82" s="26"/>
      <c r="LL82" s="26"/>
      <c r="LM82" s="26"/>
      <c r="LN82" s="26"/>
      <c r="LO82" s="26"/>
      <c r="LP82" s="26"/>
      <c r="LQ82" s="26"/>
      <c r="LR82" s="26"/>
      <c r="LS82" s="26"/>
      <c r="LT82" s="26"/>
      <c r="LU82" s="26"/>
      <c r="LV82" s="26"/>
      <c r="LW82" s="26"/>
      <c r="LX82" s="26"/>
      <c r="LY82" s="26"/>
      <c r="LZ82" s="26"/>
      <c r="MA82" s="26"/>
      <c r="MB82" s="26"/>
      <c r="MC82" s="26"/>
      <c r="MD82" s="26"/>
      <c r="ME82" s="26"/>
      <c r="MF82" s="26"/>
      <c r="MG82" s="26"/>
      <c r="MH82" s="26"/>
      <c r="MI82" s="26"/>
      <c r="MJ82" s="26"/>
      <c r="MK82" s="26"/>
      <c r="ML82" s="26"/>
      <c r="MM82" s="26"/>
      <c r="MN82" s="26"/>
      <c r="MO82" s="26"/>
      <c r="MP82" s="26"/>
      <c r="MQ82" s="26"/>
      <c r="MR82" s="26"/>
      <c r="MS82" s="23"/>
      <c r="MT82" s="26"/>
      <c r="MU82" s="26"/>
      <c r="MV82" s="26"/>
      <c r="MW82" s="26"/>
      <c r="MX82" s="26"/>
      <c r="MY82" s="26"/>
      <c r="MZ82" s="26"/>
      <c r="NA82" s="26"/>
      <c r="NB82" s="26"/>
      <c r="NC82" s="26"/>
      <c r="ND82" s="26"/>
      <c r="NE82" s="26"/>
      <c r="NF82" s="26"/>
      <c r="NG82" s="26"/>
      <c r="NH82" s="26"/>
      <c r="NI82" s="26"/>
      <c r="NJ82" s="26"/>
      <c r="NK82" s="26"/>
      <c r="NL82" s="26"/>
      <c r="NM82" s="26"/>
      <c r="NN82" s="26"/>
      <c r="NO82" s="26"/>
      <c r="NP82" s="26"/>
      <c r="NQ82" s="26"/>
      <c r="NR82" s="26"/>
      <c r="NS82" s="26"/>
      <c r="NT82" s="26"/>
      <c r="NU82" s="26"/>
      <c r="NV82" s="26"/>
      <c r="NW82" s="26"/>
      <c r="NX82" s="26"/>
      <c r="NY82" s="26"/>
      <c r="NZ82" s="26"/>
      <c r="OA82" s="26"/>
      <c r="OB82" s="26"/>
      <c r="OC82" s="26"/>
      <c r="OD82" s="26"/>
      <c r="OE82" s="26"/>
      <c r="OF82" s="23"/>
      <c r="OG82" s="26"/>
      <c r="OH82" s="26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6"/>
      <c r="PK82" s="26"/>
      <c r="PL82" s="26"/>
      <c r="PM82" s="26"/>
      <c r="PN82" s="26"/>
      <c r="PO82" s="26"/>
      <c r="PP82" s="26"/>
      <c r="PQ82" s="26"/>
      <c r="PR82" s="26"/>
    </row>
    <row r="83" spans="1:434" x14ac:dyDescent="0.25">
      <c r="A83" s="24"/>
      <c r="B83" s="25" t="s">
        <v>149</v>
      </c>
      <c r="C83" s="24" t="s">
        <v>70</v>
      </c>
      <c r="D83" s="24" t="s">
        <v>76</v>
      </c>
      <c r="E83" s="24"/>
      <c r="F83" s="23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3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3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23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3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3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3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3"/>
      <c r="JT83" s="26"/>
      <c r="JU83" s="26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  <c r="KO83" s="26"/>
      <c r="KP83" s="26"/>
      <c r="KQ83" s="26"/>
      <c r="KR83" s="26"/>
      <c r="KS83" s="26"/>
      <c r="KT83" s="26"/>
      <c r="KU83" s="26"/>
      <c r="KV83" s="26"/>
      <c r="KW83" s="26"/>
      <c r="KX83" s="26"/>
      <c r="KY83" s="26"/>
      <c r="KZ83" s="26"/>
      <c r="LA83" s="26"/>
      <c r="LB83" s="26"/>
      <c r="LC83" s="26"/>
      <c r="LD83" s="26"/>
      <c r="LE83" s="26"/>
      <c r="LF83" s="23"/>
      <c r="LG83" s="26"/>
      <c r="LH83" s="26"/>
      <c r="LI83" s="26"/>
      <c r="LJ83" s="26"/>
      <c r="LK83" s="26"/>
      <c r="LL83" s="26"/>
      <c r="LM83" s="26"/>
      <c r="LN83" s="26"/>
      <c r="LO83" s="26"/>
      <c r="LP83" s="26"/>
      <c r="LQ83" s="26"/>
      <c r="LR83" s="26"/>
      <c r="LS83" s="26"/>
      <c r="LT83" s="26"/>
      <c r="LU83" s="26"/>
      <c r="LV83" s="26"/>
      <c r="LW83" s="26"/>
      <c r="LX83" s="26"/>
      <c r="LY83" s="26"/>
      <c r="LZ83" s="26"/>
      <c r="MA83" s="26"/>
      <c r="MB83" s="26"/>
      <c r="MC83" s="26"/>
      <c r="MD83" s="26"/>
      <c r="ME83" s="26"/>
      <c r="MF83" s="26"/>
      <c r="MG83" s="26"/>
      <c r="MH83" s="26"/>
      <c r="MI83" s="26"/>
      <c r="MJ83" s="26"/>
      <c r="MK83" s="26"/>
      <c r="ML83" s="26"/>
      <c r="MM83" s="26"/>
      <c r="MN83" s="26"/>
      <c r="MO83" s="26"/>
      <c r="MP83" s="26"/>
      <c r="MQ83" s="26"/>
      <c r="MR83" s="26"/>
      <c r="MS83" s="23"/>
      <c r="MT83" s="26"/>
      <c r="MU83" s="26"/>
      <c r="MV83" s="26"/>
      <c r="MW83" s="26"/>
      <c r="MX83" s="26"/>
      <c r="MY83" s="26"/>
      <c r="MZ83" s="26"/>
      <c r="NA83" s="26"/>
      <c r="NB83" s="26"/>
      <c r="NC83" s="26"/>
      <c r="ND83" s="26"/>
      <c r="NE83" s="26"/>
      <c r="NF83" s="26"/>
      <c r="NG83" s="26"/>
      <c r="NH83" s="26"/>
      <c r="NI83" s="26"/>
      <c r="NJ83" s="26"/>
      <c r="NK83" s="26"/>
      <c r="NL83" s="26"/>
      <c r="NM83" s="26"/>
      <c r="NN83" s="26"/>
      <c r="NO83" s="26"/>
      <c r="NP83" s="26"/>
      <c r="NQ83" s="26"/>
      <c r="NR83" s="26"/>
      <c r="NS83" s="26"/>
      <c r="NT83" s="26"/>
      <c r="NU83" s="26"/>
      <c r="NV83" s="26"/>
      <c r="NW83" s="26"/>
      <c r="NX83" s="26"/>
      <c r="NY83" s="26"/>
      <c r="NZ83" s="26"/>
      <c r="OA83" s="26"/>
      <c r="OB83" s="26"/>
      <c r="OC83" s="26"/>
      <c r="OD83" s="26"/>
      <c r="OE83" s="26"/>
      <c r="OF83" s="23"/>
      <c r="OG83" s="26"/>
      <c r="OH83" s="26"/>
      <c r="OI83" s="26"/>
      <c r="OJ83" s="26"/>
      <c r="OK83" s="26"/>
      <c r="OL83" s="26"/>
      <c r="OM83" s="26"/>
      <c r="ON83" s="26"/>
      <c r="OO83" s="26"/>
      <c r="OP83" s="26"/>
      <c r="OQ83" s="26"/>
      <c r="OR83" s="26"/>
      <c r="OS83" s="26"/>
      <c r="OT83" s="26"/>
      <c r="OU83" s="26"/>
      <c r="OV83" s="26"/>
      <c r="OW83" s="26"/>
      <c r="OX83" s="26"/>
      <c r="OY83" s="26"/>
      <c r="OZ83" s="26"/>
      <c r="PA83" s="26"/>
      <c r="PB83" s="26"/>
      <c r="PC83" s="26"/>
      <c r="PD83" s="26"/>
      <c r="PE83" s="26"/>
      <c r="PF83" s="26"/>
      <c r="PG83" s="26"/>
      <c r="PH83" s="26"/>
      <c r="PI83" s="26"/>
      <c r="PJ83" s="26"/>
      <c r="PK83" s="26"/>
      <c r="PL83" s="26"/>
      <c r="PM83" s="26"/>
      <c r="PN83" s="26"/>
      <c r="PO83" s="26"/>
      <c r="PP83" s="26"/>
      <c r="PQ83" s="26"/>
      <c r="PR83" s="26"/>
    </row>
    <row r="84" spans="1:434" ht="21.95" customHeight="1" x14ac:dyDescent="0.25">
      <c r="A84" s="87" t="s">
        <v>150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  <c r="FU84" s="88"/>
      <c r="FV84" s="88"/>
      <c r="FW84" s="88"/>
      <c r="FX84" s="88"/>
      <c r="FY84" s="88"/>
      <c r="FZ84" s="88"/>
      <c r="GA84" s="88"/>
      <c r="GB84" s="88"/>
      <c r="GC84" s="88"/>
      <c r="GD84" s="88"/>
      <c r="GE84" s="88"/>
      <c r="GF84" s="88"/>
      <c r="GG84" s="88"/>
      <c r="GH84" s="88"/>
      <c r="GI84" s="88"/>
      <c r="GJ84" s="88"/>
      <c r="GK84" s="88"/>
      <c r="GL84" s="88"/>
      <c r="GM84" s="88"/>
      <c r="GN84" s="88"/>
      <c r="GO84" s="88"/>
      <c r="GP84" s="88"/>
      <c r="GQ84" s="88"/>
      <c r="GR84" s="88"/>
      <c r="GS84" s="88"/>
      <c r="GT84" s="88"/>
      <c r="GU84" s="88"/>
      <c r="GV84" s="88"/>
      <c r="GW84" s="88"/>
      <c r="GX84" s="88"/>
      <c r="GY84" s="88"/>
      <c r="GZ84" s="88"/>
      <c r="HA84" s="88"/>
      <c r="HB84" s="88"/>
      <c r="HC84" s="88"/>
      <c r="HD84" s="88"/>
      <c r="HE84" s="88"/>
      <c r="HF84" s="88"/>
      <c r="HG84" s="88"/>
      <c r="HH84" s="88"/>
      <c r="HI84" s="88"/>
      <c r="HJ84" s="88"/>
      <c r="HK84" s="88"/>
      <c r="HL84" s="88"/>
      <c r="HM84" s="88"/>
      <c r="HN84" s="88"/>
      <c r="HO84" s="88"/>
      <c r="HP84" s="88"/>
      <c r="HQ84" s="88"/>
      <c r="HR84" s="88"/>
      <c r="HS84" s="88"/>
      <c r="HT84" s="88"/>
      <c r="HU84" s="88"/>
      <c r="HV84" s="88"/>
      <c r="HW84" s="88"/>
      <c r="HX84" s="88"/>
      <c r="HY84" s="88"/>
      <c r="HZ84" s="88"/>
      <c r="IA84" s="88"/>
      <c r="IB84" s="88"/>
      <c r="IC84" s="88"/>
      <c r="ID84" s="88"/>
      <c r="IE84" s="88"/>
      <c r="IF84" s="88"/>
      <c r="IG84" s="88"/>
      <c r="IH84" s="88"/>
      <c r="II84" s="88"/>
      <c r="IJ84" s="88"/>
      <c r="IK84" s="88"/>
      <c r="IL84" s="88"/>
      <c r="IM84" s="88"/>
      <c r="IN84" s="88"/>
      <c r="IO84" s="88"/>
      <c r="IP84" s="88"/>
      <c r="IQ84" s="88"/>
      <c r="IR84" s="88"/>
      <c r="IS84" s="88"/>
      <c r="IT84" s="88"/>
      <c r="IU84" s="88"/>
      <c r="IV84" s="88"/>
      <c r="IW84" s="88"/>
      <c r="IX84" s="88"/>
      <c r="IY84" s="88"/>
      <c r="IZ84" s="88"/>
      <c r="JA84" s="88"/>
      <c r="JB84" s="88"/>
      <c r="JC84" s="88"/>
      <c r="JD84" s="88"/>
      <c r="JE84" s="88"/>
      <c r="JF84" s="88"/>
      <c r="JG84" s="88"/>
      <c r="JH84" s="88"/>
      <c r="JI84" s="88"/>
      <c r="JJ84" s="88"/>
      <c r="JK84" s="88"/>
      <c r="JL84" s="88"/>
      <c r="JM84" s="88"/>
      <c r="JN84" s="88"/>
      <c r="JO84" s="88"/>
      <c r="JP84" s="88"/>
      <c r="JQ84" s="88"/>
      <c r="JR84" s="88"/>
      <c r="JS84" s="88"/>
      <c r="JT84" s="88"/>
      <c r="JU84" s="88"/>
      <c r="JV84" s="88"/>
      <c r="JW84" s="88"/>
      <c r="JX84" s="88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88"/>
      <c r="KM84" s="88"/>
      <c r="KN84" s="88"/>
      <c r="KO84" s="88"/>
      <c r="KP84" s="88"/>
      <c r="KQ84" s="88"/>
      <c r="KR84" s="88"/>
      <c r="KS84" s="88"/>
      <c r="KT84" s="88"/>
      <c r="KU84" s="88"/>
      <c r="KV84" s="88"/>
      <c r="KW84" s="88"/>
      <c r="KX84" s="88"/>
      <c r="KY84" s="88"/>
      <c r="KZ84" s="88"/>
      <c r="LA84" s="88"/>
      <c r="LB84" s="88"/>
      <c r="LC84" s="88"/>
      <c r="LD84" s="88"/>
      <c r="LE84" s="88"/>
      <c r="LF84" s="88"/>
      <c r="LG84" s="88"/>
      <c r="LH84" s="88"/>
      <c r="LI84" s="88"/>
      <c r="LJ84" s="88"/>
      <c r="LK84" s="88"/>
      <c r="LL84" s="88"/>
      <c r="LM84" s="88"/>
      <c r="LN84" s="88"/>
      <c r="LO84" s="88"/>
      <c r="LP84" s="88"/>
      <c r="LQ84" s="88"/>
      <c r="LR84" s="88"/>
      <c r="LS84" s="88"/>
      <c r="LT84" s="88"/>
      <c r="LU84" s="88"/>
      <c r="LV84" s="88"/>
      <c r="LW84" s="88"/>
      <c r="LX84" s="88"/>
      <c r="LY84" s="88"/>
      <c r="LZ84" s="88"/>
      <c r="MA84" s="88"/>
      <c r="MB84" s="88"/>
      <c r="MC84" s="88"/>
      <c r="MD84" s="88"/>
      <c r="ME84" s="88"/>
      <c r="MF84" s="88"/>
      <c r="MG84" s="88"/>
      <c r="MH84" s="88"/>
      <c r="MI84" s="88"/>
      <c r="MJ84" s="88"/>
      <c r="MK84" s="88"/>
      <c r="ML84" s="88"/>
      <c r="MM84" s="88"/>
      <c r="MN84" s="88"/>
      <c r="MO84" s="88"/>
      <c r="MP84" s="88"/>
      <c r="MQ84" s="88"/>
      <c r="MR84" s="88"/>
      <c r="MS84" s="88"/>
      <c r="MT84" s="88"/>
      <c r="MU84" s="88"/>
      <c r="MV84" s="88"/>
      <c r="MW84" s="88"/>
      <c r="MX84" s="88"/>
      <c r="MY84" s="88"/>
      <c r="MZ84" s="88"/>
      <c r="NA84" s="88"/>
      <c r="NB84" s="88"/>
      <c r="NC84" s="88"/>
      <c r="ND84" s="88"/>
      <c r="NE84" s="88"/>
      <c r="NF84" s="88"/>
      <c r="NG84" s="88"/>
      <c r="NH84" s="88"/>
      <c r="NI84" s="88"/>
      <c r="NJ84" s="88"/>
      <c r="NK84" s="88"/>
      <c r="NL84" s="88"/>
      <c r="NM84" s="88"/>
      <c r="NN84" s="88"/>
      <c r="NO84" s="88"/>
      <c r="NP84" s="88"/>
      <c r="NQ84" s="88"/>
      <c r="NR84" s="88"/>
      <c r="NS84" s="88"/>
      <c r="NT84" s="88"/>
      <c r="NU84" s="88"/>
      <c r="NV84" s="88"/>
      <c r="NW84" s="88"/>
      <c r="NX84" s="88"/>
      <c r="NY84" s="88"/>
      <c r="NZ84" s="88"/>
      <c r="OA84" s="88"/>
      <c r="OB84" s="88"/>
      <c r="OC84" s="88"/>
      <c r="OD84" s="88"/>
      <c r="OE84" s="88"/>
      <c r="OF84" s="88"/>
      <c r="OG84" s="88"/>
      <c r="OH84" s="88"/>
      <c r="OI84" s="88"/>
      <c r="OJ84" s="88"/>
      <c r="OK84" s="88"/>
      <c r="OL84" s="88"/>
      <c r="OM84" s="88"/>
      <c r="ON84" s="88"/>
      <c r="OO84" s="88"/>
      <c r="OP84" s="88"/>
      <c r="OQ84" s="88"/>
      <c r="OR84" s="88"/>
      <c r="OS84" s="88"/>
      <c r="OT84" s="88"/>
      <c r="OU84" s="88"/>
      <c r="OV84" s="88"/>
      <c r="OW84" s="88"/>
      <c r="OX84" s="88"/>
      <c r="OY84" s="88"/>
      <c r="OZ84" s="88"/>
      <c r="PA84" s="88"/>
      <c r="PB84" s="88"/>
      <c r="PC84" s="88"/>
      <c r="PD84" s="88"/>
      <c r="PE84" s="88"/>
      <c r="PF84" s="88"/>
      <c r="PG84" s="88"/>
      <c r="PH84" s="88"/>
      <c r="PI84" s="88"/>
      <c r="PJ84" s="88"/>
      <c r="PK84" s="88"/>
      <c r="PL84" s="88"/>
      <c r="PM84" s="88"/>
      <c r="PN84" s="88"/>
      <c r="PO84" s="88"/>
      <c r="PP84" s="88"/>
      <c r="PQ84" s="88"/>
      <c r="PR84" s="89"/>
    </row>
    <row r="85" spans="1:434" ht="25.5" x14ac:dyDescent="0.25">
      <c r="A85" s="24"/>
      <c r="B85" s="25" t="s">
        <v>151</v>
      </c>
      <c r="C85" s="24" t="s">
        <v>66</v>
      </c>
      <c r="D85" s="24" t="s">
        <v>73</v>
      </c>
      <c r="E85" s="24"/>
      <c r="F85" s="23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3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3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23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3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3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3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3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3"/>
      <c r="LG85" s="26"/>
      <c r="LH85" s="26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H85" s="26"/>
      <c r="MI85" s="26"/>
      <c r="MJ85" s="26"/>
      <c r="MK85" s="26"/>
      <c r="ML85" s="26"/>
      <c r="MM85" s="26"/>
      <c r="MN85" s="26"/>
      <c r="MO85" s="26"/>
      <c r="MP85" s="26"/>
      <c r="MQ85" s="26"/>
      <c r="MR85" s="26"/>
      <c r="MS85" s="23"/>
      <c r="MT85" s="26"/>
      <c r="MU85" s="26"/>
      <c r="MV85" s="26"/>
      <c r="MW85" s="26"/>
      <c r="MX85" s="26"/>
      <c r="MY85" s="26"/>
      <c r="MZ85" s="26"/>
      <c r="NA85" s="26"/>
      <c r="NB85" s="26"/>
      <c r="NC85" s="26"/>
      <c r="ND85" s="26"/>
      <c r="NE85" s="26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3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  <c r="PQ85" s="26"/>
      <c r="PR85" s="26"/>
    </row>
    <row r="86" spans="1:434" x14ac:dyDescent="0.25">
      <c r="A86" s="24"/>
      <c r="B86" s="25" t="s">
        <v>152</v>
      </c>
      <c r="C86" s="24" t="s">
        <v>70</v>
      </c>
      <c r="D86" s="24" t="s">
        <v>67</v>
      </c>
      <c r="E86" s="24"/>
      <c r="F86" s="23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3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3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23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3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3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3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3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6"/>
      <c r="KR86" s="26"/>
      <c r="KS86" s="26"/>
      <c r="KT86" s="26"/>
      <c r="KU86" s="26"/>
      <c r="KV86" s="26"/>
      <c r="KW86" s="26"/>
      <c r="KX86" s="26"/>
      <c r="KY86" s="26"/>
      <c r="KZ86" s="26"/>
      <c r="LA86" s="26"/>
      <c r="LB86" s="26"/>
      <c r="LC86" s="26"/>
      <c r="LD86" s="26"/>
      <c r="LE86" s="26"/>
      <c r="LF86" s="23"/>
      <c r="LG86" s="26"/>
      <c r="LH86" s="26"/>
      <c r="LI86" s="26"/>
      <c r="LJ86" s="26"/>
      <c r="LK86" s="26"/>
      <c r="LL86" s="26"/>
      <c r="LM86" s="26"/>
      <c r="LN86" s="26"/>
      <c r="LO86" s="26"/>
      <c r="LP86" s="26"/>
      <c r="LQ86" s="26"/>
      <c r="LR86" s="26"/>
      <c r="LS86" s="26"/>
      <c r="LT86" s="26"/>
      <c r="LU86" s="26"/>
      <c r="LV86" s="26"/>
      <c r="LW86" s="26"/>
      <c r="LX86" s="26"/>
      <c r="LY86" s="26"/>
      <c r="LZ86" s="26"/>
      <c r="MA86" s="26"/>
      <c r="MB86" s="26"/>
      <c r="MC86" s="26"/>
      <c r="MD86" s="26"/>
      <c r="ME86" s="26"/>
      <c r="MF86" s="26"/>
      <c r="MG86" s="26"/>
      <c r="MH86" s="26"/>
      <c r="MI86" s="26"/>
      <c r="MJ86" s="26"/>
      <c r="MK86" s="26"/>
      <c r="ML86" s="26"/>
      <c r="MM86" s="26"/>
      <c r="MN86" s="26"/>
      <c r="MO86" s="26"/>
      <c r="MP86" s="26"/>
      <c r="MQ86" s="26"/>
      <c r="MR86" s="26"/>
      <c r="MS86" s="23"/>
      <c r="MT86" s="26"/>
      <c r="MU86" s="26"/>
      <c r="MV86" s="26"/>
      <c r="MW86" s="26"/>
      <c r="MX86" s="26"/>
      <c r="MY86" s="26"/>
      <c r="MZ86" s="26"/>
      <c r="NA86" s="26"/>
      <c r="NB86" s="26"/>
      <c r="NC86" s="26"/>
      <c r="ND86" s="26"/>
      <c r="NE86" s="26"/>
      <c r="NF86" s="26"/>
      <c r="NG86" s="26"/>
      <c r="NH86" s="26"/>
      <c r="NI86" s="26"/>
      <c r="NJ86" s="26"/>
      <c r="NK86" s="26"/>
      <c r="NL86" s="26"/>
      <c r="NM86" s="26"/>
      <c r="NN86" s="26"/>
      <c r="NO86" s="26"/>
      <c r="NP86" s="26"/>
      <c r="NQ86" s="26"/>
      <c r="NR86" s="26"/>
      <c r="NS86" s="26"/>
      <c r="NT86" s="26"/>
      <c r="NU86" s="26"/>
      <c r="NV86" s="26"/>
      <c r="NW86" s="26"/>
      <c r="NX86" s="26"/>
      <c r="NY86" s="26"/>
      <c r="NZ86" s="26"/>
      <c r="OA86" s="26"/>
      <c r="OB86" s="26"/>
      <c r="OC86" s="26"/>
      <c r="OD86" s="26"/>
      <c r="OE86" s="26"/>
      <c r="OF86" s="23"/>
      <c r="OG86" s="26"/>
      <c r="OH86" s="26"/>
      <c r="OI86" s="26"/>
      <c r="OJ86" s="26"/>
      <c r="OK86" s="26"/>
      <c r="OL86" s="26"/>
      <c r="OM86" s="26"/>
      <c r="ON86" s="26"/>
      <c r="OO86" s="26"/>
      <c r="OP86" s="26"/>
      <c r="OQ86" s="26"/>
      <c r="OR86" s="26"/>
      <c r="OS86" s="26"/>
      <c r="OT86" s="26"/>
      <c r="OU86" s="26"/>
      <c r="OV86" s="26"/>
      <c r="OW86" s="26"/>
      <c r="OX86" s="26"/>
      <c r="OY86" s="26"/>
      <c r="OZ86" s="26"/>
      <c r="PA86" s="26"/>
      <c r="PB86" s="26"/>
      <c r="PC86" s="26"/>
      <c r="PD86" s="26"/>
      <c r="PE86" s="26"/>
      <c r="PF86" s="26"/>
      <c r="PG86" s="26"/>
      <c r="PH86" s="26"/>
      <c r="PI86" s="26"/>
      <c r="PJ86" s="26"/>
      <c r="PK86" s="26"/>
      <c r="PL86" s="26"/>
      <c r="PM86" s="26"/>
      <c r="PN86" s="26"/>
      <c r="PO86" s="26"/>
      <c r="PP86" s="26"/>
      <c r="PQ86" s="26"/>
      <c r="PR86" s="26"/>
    </row>
    <row r="87" spans="1:434" x14ac:dyDescent="0.25">
      <c r="A87" s="24"/>
      <c r="B87" s="25" t="s">
        <v>153</v>
      </c>
      <c r="C87" s="24" t="s">
        <v>66</v>
      </c>
      <c r="D87" s="24" t="s">
        <v>67</v>
      </c>
      <c r="E87" s="24"/>
      <c r="F87" s="23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3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3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23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3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3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3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6"/>
      <c r="JO87" s="26"/>
      <c r="JP87" s="26"/>
      <c r="JQ87" s="26"/>
      <c r="JR87" s="26"/>
      <c r="JS87" s="23"/>
      <c r="JT87" s="26"/>
      <c r="JU87" s="26"/>
      <c r="JV87" s="26"/>
      <c r="JW87" s="26"/>
      <c r="JX87" s="26"/>
      <c r="JY87" s="26"/>
      <c r="JZ87" s="26"/>
      <c r="KA87" s="26"/>
      <c r="KB87" s="26"/>
      <c r="KC87" s="26"/>
      <c r="KD87" s="26"/>
      <c r="KE87" s="26"/>
      <c r="KF87" s="26"/>
      <c r="KG87" s="26"/>
      <c r="KH87" s="26"/>
      <c r="KI87" s="26"/>
      <c r="KJ87" s="26"/>
      <c r="KK87" s="26"/>
      <c r="KL87" s="26"/>
      <c r="KM87" s="26"/>
      <c r="KN87" s="26"/>
      <c r="KO87" s="26"/>
      <c r="KP87" s="26"/>
      <c r="KQ87" s="26"/>
      <c r="KR87" s="26"/>
      <c r="KS87" s="26"/>
      <c r="KT87" s="26"/>
      <c r="KU87" s="26"/>
      <c r="KV87" s="26"/>
      <c r="KW87" s="26"/>
      <c r="KX87" s="26"/>
      <c r="KY87" s="26"/>
      <c r="KZ87" s="26"/>
      <c r="LA87" s="26"/>
      <c r="LB87" s="26"/>
      <c r="LC87" s="26"/>
      <c r="LD87" s="26"/>
      <c r="LE87" s="26"/>
      <c r="LF87" s="23"/>
      <c r="LG87" s="26"/>
      <c r="LH87" s="26"/>
      <c r="LI87" s="26"/>
      <c r="LJ87" s="26"/>
      <c r="LK87" s="26"/>
      <c r="LL87" s="26"/>
      <c r="LM87" s="26"/>
      <c r="LN87" s="26"/>
      <c r="LO87" s="26"/>
      <c r="LP87" s="26"/>
      <c r="LQ87" s="26"/>
      <c r="LR87" s="26"/>
      <c r="LS87" s="26"/>
      <c r="LT87" s="26"/>
      <c r="LU87" s="26"/>
      <c r="LV87" s="26"/>
      <c r="LW87" s="26"/>
      <c r="LX87" s="26"/>
      <c r="LY87" s="26"/>
      <c r="LZ87" s="26"/>
      <c r="MA87" s="26"/>
      <c r="MB87" s="26"/>
      <c r="MC87" s="26"/>
      <c r="MD87" s="26"/>
      <c r="ME87" s="26"/>
      <c r="MF87" s="26"/>
      <c r="MG87" s="26"/>
      <c r="MH87" s="26"/>
      <c r="MI87" s="26"/>
      <c r="MJ87" s="26"/>
      <c r="MK87" s="26"/>
      <c r="ML87" s="26"/>
      <c r="MM87" s="26"/>
      <c r="MN87" s="26"/>
      <c r="MO87" s="26"/>
      <c r="MP87" s="26"/>
      <c r="MQ87" s="26"/>
      <c r="MR87" s="26"/>
      <c r="MS87" s="23"/>
      <c r="MT87" s="26"/>
      <c r="MU87" s="26"/>
      <c r="MV87" s="26"/>
      <c r="MW87" s="26"/>
      <c r="MX87" s="26"/>
      <c r="MY87" s="26"/>
      <c r="MZ87" s="26"/>
      <c r="NA87" s="26"/>
      <c r="NB87" s="26"/>
      <c r="NC87" s="26"/>
      <c r="ND87" s="26"/>
      <c r="NE87" s="26"/>
      <c r="NF87" s="26"/>
      <c r="NG87" s="26"/>
      <c r="NH87" s="26"/>
      <c r="NI87" s="26"/>
      <c r="NJ87" s="26"/>
      <c r="NK87" s="26"/>
      <c r="NL87" s="26"/>
      <c r="NM87" s="26"/>
      <c r="NN87" s="26"/>
      <c r="NO87" s="26"/>
      <c r="NP87" s="26"/>
      <c r="NQ87" s="26"/>
      <c r="NR87" s="26"/>
      <c r="NS87" s="26"/>
      <c r="NT87" s="26"/>
      <c r="NU87" s="26"/>
      <c r="NV87" s="26"/>
      <c r="NW87" s="26"/>
      <c r="NX87" s="26"/>
      <c r="NY87" s="26"/>
      <c r="NZ87" s="26"/>
      <c r="OA87" s="26"/>
      <c r="OB87" s="26"/>
      <c r="OC87" s="26"/>
      <c r="OD87" s="26"/>
      <c r="OE87" s="26"/>
      <c r="OF87" s="23"/>
      <c r="OG87" s="26"/>
      <c r="OH87" s="26"/>
      <c r="OI87" s="26"/>
      <c r="OJ87" s="26"/>
      <c r="OK87" s="26"/>
      <c r="OL87" s="26"/>
      <c r="OM87" s="26"/>
      <c r="ON87" s="26"/>
      <c r="OO87" s="26"/>
      <c r="OP87" s="26"/>
      <c r="OQ87" s="26"/>
      <c r="OR87" s="26"/>
      <c r="OS87" s="26"/>
      <c r="OT87" s="26"/>
      <c r="OU87" s="26"/>
      <c r="OV87" s="26"/>
      <c r="OW87" s="26"/>
      <c r="OX87" s="26"/>
      <c r="OY87" s="26"/>
      <c r="OZ87" s="26"/>
      <c r="PA87" s="26"/>
      <c r="PB87" s="26"/>
      <c r="PC87" s="26"/>
      <c r="PD87" s="26"/>
      <c r="PE87" s="26"/>
      <c r="PF87" s="26"/>
      <c r="PG87" s="26"/>
      <c r="PH87" s="26"/>
      <c r="PI87" s="26"/>
      <c r="PJ87" s="26"/>
      <c r="PK87" s="26"/>
      <c r="PL87" s="26"/>
      <c r="PM87" s="26"/>
      <c r="PN87" s="26"/>
      <c r="PO87" s="26"/>
      <c r="PP87" s="26"/>
      <c r="PQ87" s="26"/>
      <c r="PR87" s="26"/>
    </row>
    <row r="88" spans="1:434" ht="26.1" customHeight="1" x14ac:dyDescent="0.25">
      <c r="A88" s="24"/>
      <c r="B88" s="25" t="s">
        <v>154</v>
      </c>
      <c r="C88" s="24" t="s">
        <v>66</v>
      </c>
      <c r="D88" s="24" t="s">
        <v>73</v>
      </c>
      <c r="E88" s="24"/>
      <c r="F88" s="23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3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3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23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3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3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3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3"/>
      <c r="JT88" s="26"/>
      <c r="JU88" s="26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  <c r="KO88" s="26"/>
      <c r="KP88" s="26"/>
      <c r="KQ88" s="26"/>
      <c r="KR88" s="26"/>
      <c r="KS88" s="26"/>
      <c r="KT88" s="26"/>
      <c r="KU88" s="26"/>
      <c r="KV88" s="26"/>
      <c r="KW88" s="26"/>
      <c r="KX88" s="26"/>
      <c r="KY88" s="26"/>
      <c r="KZ88" s="26"/>
      <c r="LA88" s="26"/>
      <c r="LB88" s="26"/>
      <c r="LC88" s="26"/>
      <c r="LD88" s="26"/>
      <c r="LE88" s="26"/>
      <c r="LF88" s="23"/>
      <c r="LG88" s="26"/>
      <c r="LH88" s="26"/>
      <c r="LI88" s="26"/>
      <c r="LJ88" s="26"/>
      <c r="LK88" s="26"/>
      <c r="LL88" s="26"/>
      <c r="LM88" s="26"/>
      <c r="LN88" s="26"/>
      <c r="LO88" s="26"/>
      <c r="LP88" s="26"/>
      <c r="LQ88" s="26"/>
      <c r="LR88" s="26"/>
      <c r="LS88" s="26"/>
      <c r="LT88" s="26"/>
      <c r="LU88" s="26"/>
      <c r="LV88" s="26"/>
      <c r="LW88" s="26"/>
      <c r="LX88" s="26"/>
      <c r="LY88" s="26"/>
      <c r="LZ88" s="26"/>
      <c r="MA88" s="26"/>
      <c r="MB88" s="26"/>
      <c r="MC88" s="26"/>
      <c r="MD88" s="26"/>
      <c r="ME88" s="26"/>
      <c r="MF88" s="26"/>
      <c r="MG88" s="26"/>
      <c r="MH88" s="26"/>
      <c r="MI88" s="26"/>
      <c r="MJ88" s="26"/>
      <c r="MK88" s="26"/>
      <c r="ML88" s="26"/>
      <c r="MM88" s="26"/>
      <c r="MN88" s="26"/>
      <c r="MO88" s="26"/>
      <c r="MP88" s="26"/>
      <c r="MQ88" s="26"/>
      <c r="MR88" s="26"/>
      <c r="MS88" s="23"/>
      <c r="MT88" s="26"/>
      <c r="MU88" s="26"/>
      <c r="MV88" s="26"/>
      <c r="MW88" s="26"/>
      <c r="MX88" s="26"/>
      <c r="MY88" s="26"/>
      <c r="MZ88" s="26"/>
      <c r="NA88" s="26"/>
      <c r="NB88" s="26"/>
      <c r="NC88" s="26"/>
      <c r="ND88" s="26"/>
      <c r="NE88" s="26"/>
      <c r="NF88" s="26"/>
      <c r="NG88" s="26"/>
      <c r="NH88" s="26"/>
      <c r="NI88" s="26"/>
      <c r="NJ88" s="26"/>
      <c r="NK88" s="26"/>
      <c r="NL88" s="26"/>
      <c r="NM88" s="26"/>
      <c r="NN88" s="26"/>
      <c r="NO88" s="26"/>
      <c r="NP88" s="26"/>
      <c r="NQ88" s="26"/>
      <c r="NR88" s="26"/>
      <c r="NS88" s="26"/>
      <c r="NT88" s="26"/>
      <c r="NU88" s="26"/>
      <c r="NV88" s="26"/>
      <c r="NW88" s="26"/>
      <c r="NX88" s="26"/>
      <c r="NY88" s="26"/>
      <c r="NZ88" s="26"/>
      <c r="OA88" s="26"/>
      <c r="OB88" s="26"/>
      <c r="OC88" s="26"/>
      <c r="OD88" s="26"/>
      <c r="OE88" s="26"/>
      <c r="OF88" s="23"/>
      <c r="OG88" s="26"/>
      <c r="OH88" s="26"/>
      <c r="OI88" s="26"/>
      <c r="OJ88" s="26"/>
      <c r="OK88" s="26"/>
      <c r="OL88" s="26"/>
      <c r="OM88" s="26"/>
      <c r="ON88" s="26"/>
      <c r="OO88" s="26"/>
      <c r="OP88" s="26"/>
      <c r="OQ88" s="26"/>
      <c r="OR88" s="26"/>
      <c r="OS88" s="26"/>
      <c r="OT88" s="26"/>
      <c r="OU88" s="26"/>
      <c r="OV88" s="26"/>
      <c r="OW88" s="26"/>
      <c r="OX88" s="26"/>
      <c r="OY88" s="26"/>
      <c r="OZ88" s="26"/>
      <c r="PA88" s="26"/>
      <c r="PB88" s="26"/>
      <c r="PC88" s="26"/>
      <c r="PD88" s="26"/>
      <c r="PE88" s="26"/>
      <c r="PF88" s="26"/>
      <c r="PG88" s="26"/>
      <c r="PH88" s="26"/>
      <c r="PI88" s="26"/>
      <c r="PJ88" s="26"/>
      <c r="PK88" s="26"/>
      <c r="PL88" s="26"/>
      <c r="PM88" s="26"/>
      <c r="PN88" s="26"/>
      <c r="PO88" s="26"/>
      <c r="PP88" s="26"/>
      <c r="PQ88" s="26"/>
      <c r="PR88" s="26"/>
    </row>
    <row r="89" spans="1:434" x14ac:dyDescent="0.25">
      <c r="A89" s="24"/>
      <c r="B89" s="25" t="s">
        <v>155</v>
      </c>
      <c r="C89" s="24" t="s">
        <v>70</v>
      </c>
      <c r="D89" s="24" t="s">
        <v>76</v>
      </c>
      <c r="E89" s="24"/>
      <c r="F89" s="23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3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3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23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3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3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3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3"/>
      <c r="JT89" s="26"/>
      <c r="JU89" s="26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  <c r="KO89" s="26"/>
      <c r="KP89" s="26"/>
      <c r="KQ89" s="26"/>
      <c r="KR89" s="26"/>
      <c r="KS89" s="26"/>
      <c r="KT89" s="26"/>
      <c r="KU89" s="26"/>
      <c r="KV89" s="26"/>
      <c r="KW89" s="26"/>
      <c r="KX89" s="26"/>
      <c r="KY89" s="26"/>
      <c r="KZ89" s="26"/>
      <c r="LA89" s="26"/>
      <c r="LB89" s="26"/>
      <c r="LC89" s="26"/>
      <c r="LD89" s="26"/>
      <c r="LE89" s="26"/>
      <c r="LF89" s="23"/>
      <c r="LG89" s="26"/>
      <c r="LH89" s="26"/>
      <c r="LI89" s="26"/>
      <c r="LJ89" s="26"/>
      <c r="LK89" s="26"/>
      <c r="LL89" s="26"/>
      <c r="LM89" s="26"/>
      <c r="LN89" s="26"/>
      <c r="LO89" s="26"/>
      <c r="LP89" s="26"/>
      <c r="LQ89" s="26"/>
      <c r="LR89" s="26"/>
      <c r="LS89" s="26"/>
      <c r="LT89" s="26"/>
      <c r="LU89" s="26"/>
      <c r="LV89" s="26"/>
      <c r="LW89" s="26"/>
      <c r="LX89" s="26"/>
      <c r="LY89" s="26"/>
      <c r="LZ89" s="26"/>
      <c r="MA89" s="26"/>
      <c r="MB89" s="26"/>
      <c r="MC89" s="26"/>
      <c r="MD89" s="26"/>
      <c r="ME89" s="26"/>
      <c r="MF89" s="26"/>
      <c r="MG89" s="26"/>
      <c r="MH89" s="26"/>
      <c r="MI89" s="26"/>
      <c r="MJ89" s="26"/>
      <c r="MK89" s="26"/>
      <c r="ML89" s="26"/>
      <c r="MM89" s="26"/>
      <c r="MN89" s="26"/>
      <c r="MO89" s="26"/>
      <c r="MP89" s="26"/>
      <c r="MQ89" s="26"/>
      <c r="MR89" s="26"/>
      <c r="MS89" s="23"/>
      <c r="MT89" s="26"/>
      <c r="MU89" s="26"/>
      <c r="MV89" s="26"/>
      <c r="MW89" s="26"/>
      <c r="MX89" s="26"/>
      <c r="MY89" s="26"/>
      <c r="MZ89" s="26"/>
      <c r="NA89" s="26"/>
      <c r="NB89" s="26"/>
      <c r="NC89" s="26"/>
      <c r="ND89" s="26"/>
      <c r="NE89" s="26"/>
      <c r="NF89" s="26"/>
      <c r="NG89" s="26"/>
      <c r="NH89" s="26"/>
      <c r="NI89" s="26"/>
      <c r="NJ89" s="26"/>
      <c r="NK89" s="26"/>
      <c r="NL89" s="26"/>
      <c r="NM89" s="26"/>
      <c r="NN89" s="26"/>
      <c r="NO89" s="26"/>
      <c r="NP89" s="26"/>
      <c r="NQ89" s="26"/>
      <c r="NR89" s="26"/>
      <c r="NS89" s="26"/>
      <c r="NT89" s="26"/>
      <c r="NU89" s="26"/>
      <c r="NV89" s="26"/>
      <c r="NW89" s="26"/>
      <c r="NX89" s="26"/>
      <c r="NY89" s="26"/>
      <c r="NZ89" s="26"/>
      <c r="OA89" s="26"/>
      <c r="OB89" s="26"/>
      <c r="OC89" s="26"/>
      <c r="OD89" s="26"/>
      <c r="OE89" s="26"/>
      <c r="OF89" s="23"/>
      <c r="OG89" s="26"/>
      <c r="OH89" s="26"/>
      <c r="OI89" s="26"/>
      <c r="OJ89" s="26"/>
      <c r="OK89" s="26"/>
      <c r="OL89" s="26"/>
      <c r="OM89" s="26"/>
      <c r="ON89" s="26"/>
      <c r="OO89" s="26"/>
      <c r="OP89" s="26"/>
      <c r="OQ89" s="26"/>
      <c r="OR89" s="26"/>
      <c r="OS89" s="26"/>
      <c r="OT89" s="26"/>
      <c r="OU89" s="26"/>
      <c r="OV89" s="26"/>
      <c r="OW89" s="26"/>
      <c r="OX89" s="26"/>
      <c r="OY89" s="26"/>
      <c r="OZ89" s="26"/>
      <c r="PA89" s="26"/>
      <c r="PB89" s="26"/>
      <c r="PC89" s="26"/>
      <c r="PD89" s="26"/>
      <c r="PE89" s="26"/>
      <c r="PF89" s="26"/>
      <c r="PG89" s="26"/>
      <c r="PH89" s="26"/>
      <c r="PI89" s="26"/>
      <c r="PJ89" s="26"/>
      <c r="PK89" s="26"/>
      <c r="PL89" s="26"/>
      <c r="PM89" s="26"/>
      <c r="PN89" s="26"/>
      <c r="PO89" s="26"/>
      <c r="PP89" s="26"/>
      <c r="PQ89" s="26"/>
      <c r="PR89" s="26"/>
    </row>
    <row r="90" spans="1:434" x14ac:dyDescent="0.25">
      <c r="A90" s="24"/>
      <c r="B90" s="25" t="s">
        <v>156</v>
      </c>
      <c r="C90" s="24" t="s">
        <v>70</v>
      </c>
      <c r="D90" s="24" t="s">
        <v>76</v>
      </c>
      <c r="E90" s="24"/>
      <c r="F90" s="23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3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3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23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3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3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3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3"/>
      <c r="JT90" s="26"/>
      <c r="JU90" s="26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  <c r="KO90" s="26"/>
      <c r="KP90" s="26"/>
      <c r="KQ90" s="26"/>
      <c r="KR90" s="26"/>
      <c r="KS90" s="26"/>
      <c r="KT90" s="26"/>
      <c r="KU90" s="26"/>
      <c r="KV90" s="26"/>
      <c r="KW90" s="26"/>
      <c r="KX90" s="26"/>
      <c r="KY90" s="26"/>
      <c r="KZ90" s="26"/>
      <c r="LA90" s="26"/>
      <c r="LB90" s="26"/>
      <c r="LC90" s="26"/>
      <c r="LD90" s="26"/>
      <c r="LE90" s="26"/>
      <c r="LF90" s="23"/>
      <c r="LG90" s="26"/>
      <c r="LH90" s="26"/>
      <c r="LI90" s="26"/>
      <c r="LJ90" s="26"/>
      <c r="LK90" s="26"/>
      <c r="LL90" s="26"/>
      <c r="LM90" s="26"/>
      <c r="LN90" s="26"/>
      <c r="LO90" s="26"/>
      <c r="LP90" s="26"/>
      <c r="LQ90" s="26"/>
      <c r="LR90" s="26"/>
      <c r="LS90" s="26"/>
      <c r="LT90" s="26"/>
      <c r="LU90" s="26"/>
      <c r="LV90" s="26"/>
      <c r="LW90" s="26"/>
      <c r="LX90" s="26"/>
      <c r="LY90" s="26"/>
      <c r="LZ90" s="26"/>
      <c r="MA90" s="26"/>
      <c r="MB90" s="26"/>
      <c r="MC90" s="26"/>
      <c r="MD90" s="26"/>
      <c r="ME90" s="26"/>
      <c r="MF90" s="26"/>
      <c r="MG90" s="26"/>
      <c r="MH90" s="26"/>
      <c r="MI90" s="26"/>
      <c r="MJ90" s="26"/>
      <c r="MK90" s="26"/>
      <c r="ML90" s="26"/>
      <c r="MM90" s="26"/>
      <c r="MN90" s="26"/>
      <c r="MO90" s="26"/>
      <c r="MP90" s="26"/>
      <c r="MQ90" s="26"/>
      <c r="MR90" s="26"/>
      <c r="MS90" s="23"/>
      <c r="MT90" s="26"/>
      <c r="MU90" s="26"/>
      <c r="MV90" s="26"/>
      <c r="MW90" s="26"/>
      <c r="MX90" s="26"/>
      <c r="MY90" s="26"/>
      <c r="MZ90" s="26"/>
      <c r="NA90" s="26"/>
      <c r="NB90" s="26"/>
      <c r="NC90" s="26"/>
      <c r="ND90" s="26"/>
      <c r="NE90" s="26"/>
      <c r="NF90" s="26"/>
      <c r="NG90" s="26"/>
      <c r="NH90" s="26"/>
      <c r="NI90" s="26"/>
      <c r="NJ90" s="26"/>
      <c r="NK90" s="26"/>
      <c r="NL90" s="26"/>
      <c r="NM90" s="26"/>
      <c r="NN90" s="26"/>
      <c r="NO90" s="26"/>
      <c r="NP90" s="26"/>
      <c r="NQ90" s="26"/>
      <c r="NR90" s="26"/>
      <c r="NS90" s="26"/>
      <c r="NT90" s="26"/>
      <c r="NU90" s="26"/>
      <c r="NV90" s="26"/>
      <c r="NW90" s="26"/>
      <c r="NX90" s="26"/>
      <c r="NY90" s="26"/>
      <c r="NZ90" s="26"/>
      <c r="OA90" s="26"/>
      <c r="OB90" s="26"/>
      <c r="OC90" s="26"/>
      <c r="OD90" s="26"/>
      <c r="OE90" s="26"/>
      <c r="OF90" s="23"/>
      <c r="OG90" s="26"/>
      <c r="OH90" s="26"/>
      <c r="OI90" s="26"/>
      <c r="OJ90" s="26"/>
      <c r="OK90" s="26"/>
      <c r="OL90" s="26"/>
      <c r="OM90" s="26"/>
      <c r="ON90" s="26"/>
      <c r="OO90" s="26"/>
      <c r="OP90" s="26"/>
      <c r="OQ90" s="26"/>
      <c r="OR90" s="26"/>
      <c r="OS90" s="26"/>
      <c r="OT90" s="26"/>
      <c r="OU90" s="26"/>
      <c r="OV90" s="26"/>
      <c r="OW90" s="26"/>
      <c r="OX90" s="26"/>
      <c r="OY90" s="26"/>
      <c r="OZ90" s="26"/>
      <c r="PA90" s="26"/>
      <c r="PB90" s="26"/>
      <c r="PC90" s="26"/>
      <c r="PD90" s="26"/>
      <c r="PE90" s="26"/>
      <c r="PF90" s="26"/>
      <c r="PG90" s="26"/>
      <c r="PH90" s="26"/>
      <c r="PI90" s="26"/>
      <c r="PJ90" s="26"/>
      <c r="PK90" s="26"/>
      <c r="PL90" s="26"/>
      <c r="PM90" s="26"/>
      <c r="PN90" s="26"/>
      <c r="PO90" s="26"/>
      <c r="PP90" s="26"/>
      <c r="PQ90" s="26"/>
      <c r="PR90" s="26"/>
    </row>
    <row r="91" spans="1:434" x14ac:dyDescent="0.25">
      <c r="A91" s="24"/>
      <c r="B91" s="25" t="s">
        <v>157</v>
      </c>
      <c r="C91" s="24" t="s">
        <v>70</v>
      </c>
      <c r="D91" s="24" t="s">
        <v>76</v>
      </c>
      <c r="E91" s="24"/>
      <c r="F91" s="23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3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3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23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3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3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3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3"/>
      <c r="JT91" s="26"/>
      <c r="JU91" s="26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  <c r="KO91" s="26"/>
      <c r="KP91" s="26"/>
      <c r="KQ91" s="26"/>
      <c r="KR91" s="26"/>
      <c r="KS91" s="26"/>
      <c r="KT91" s="26"/>
      <c r="KU91" s="26"/>
      <c r="KV91" s="26"/>
      <c r="KW91" s="26"/>
      <c r="KX91" s="26"/>
      <c r="KY91" s="26"/>
      <c r="KZ91" s="26"/>
      <c r="LA91" s="26"/>
      <c r="LB91" s="26"/>
      <c r="LC91" s="26"/>
      <c r="LD91" s="26"/>
      <c r="LE91" s="26"/>
      <c r="LF91" s="23"/>
      <c r="LG91" s="26"/>
      <c r="LH91" s="26"/>
      <c r="LI91" s="26"/>
      <c r="LJ91" s="26"/>
      <c r="LK91" s="26"/>
      <c r="LL91" s="26"/>
      <c r="LM91" s="26"/>
      <c r="LN91" s="26"/>
      <c r="LO91" s="26"/>
      <c r="LP91" s="26"/>
      <c r="LQ91" s="26"/>
      <c r="LR91" s="26"/>
      <c r="LS91" s="26"/>
      <c r="LT91" s="26"/>
      <c r="LU91" s="26"/>
      <c r="LV91" s="26"/>
      <c r="LW91" s="26"/>
      <c r="LX91" s="26"/>
      <c r="LY91" s="26"/>
      <c r="LZ91" s="26"/>
      <c r="MA91" s="26"/>
      <c r="MB91" s="26"/>
      <c r="MC91" s="26"/>
      <c r="MD91" s="26"/>
      <c r="ME91" s="26"/>
      <c r="MF91" s="26"/>
      <c r="MG91" s="26"/>
      <c r="MH91" s="26"/>
      <c r="MI91" s="26"/>
      <c r="MJ91" s="26"/>
      <c r="MK91" s="26"/>
      <c r="ML91" s="26"/>
      <c r="MM91" s="26"/>
      <c r="MN91" s="26"/>
      <c r="MO91" s="26"/>
      <c r="MP91" s="26"/>
      <c r="MQ91" s="26"/>
      <c r="MR91" s="26"/>
      <c r="MS91" s="23"/>
      <c r="MT91" s="26"/>
      <c r="MU91" s="26"/>
      <c r="MV91" s="26"/>
      <c r="MW91" s="26"/>
      <c r="MX91" s="26"/>
      <c r="MY91" s="26"/>
      <c r="MZ91" s="26"/>
      <c r="NA91" s="26"/>
      <c r="NB91" s="26"/>
      <c r="NC91" s="26"/>
      <c r="ND91" s="26"/>
      <c r="NE91" s="26"/>
      <c r="NF91" s="26"/>
      <c r="NG91" s="26"/>
      <c r="NH91" s="26"/>
      <c r="NI91" s="26"/>
      <c r="NJ91" s="26"/>
      <c r="NK91" s="26"/>
      <c r="NL91" s="26"/>
      <c r="NM91" s="26"/>
      <c r="NN91" s="26"/>
      <c r="NO91" s="26"/>
      <c r="NP91" s="26"/>
      <c r="NQ91" s="26"/>
      <c r="NR91" s="26"/>
      <c r="NS91" s="26"/>
      <c r="NT91" s="26"/>
      <c r="NU91" s="26"/>
      <c r="NV91" s="26"/>
      <c r="NW91" s="26"/>
      <c r="NX91" s="26"/>
      <c r="NY91" s="26"/>
      <c r="NZ91" s="26"/>
      <c r="OA91" s="26"/>
      <c r="OB91" s="26"/>
      <c r="OC91" s="26"/>
      <c r="OD91" s="26"/>
      <c r="OE91" s="26"/>
      <c r="OF91" s="23"/>
      <c r="OG91" s="26"/>
      <c r="OH91" s="26"/>
      <c r="OI91" s="26"/>
      <c r="OJ91" s="26"/>
      <c r="OK91" s="26"/>
      <c r="OL91" s="26"/>
      <c r="OM91" s="26"/>
      <c r="ON91" s="26"/>
      <c r="OO91" s="26"/>
      <c r="OP91" s="26"/>
      <c r="OQ91" s="26"/>
      <c r="OR91" s="26"/>
      <c r="OS91" s="26"/>
      <c r="OT91" s="26"/>
      <c r="OU91" s="26"/>
      <c r="OV91" s="26"/>
      <c r="OW91" s="26"/>
      <c r="OX91" s="26"/>
      <c r="OY91" s="26"/>
      <c r="OZ91" s="26"/>
      <c r="PA91" s="26"/>
      <c r="PB91" s="26"/>
      <c r="PC91" s="26"/>
      <c r="PD91" s="26"/>
      <c r="PE91" s="26"/>
      <c r="PF91" s="26"/>
      <c r="PG91" s="26"/>
      <c r="PH91" s="26"/>
      <c r="PI91" s="26"/>
      <c r="PJ91" s="26"/>
      <c r="PK91" s="26"/>
      <c r="PL91" s="26"/>
      <c r="PM91" s="26"/>
      <c r="PN91" s="26"/>
      <c r="PO91" s="26"/>
      <c r="PP91" s="26"/>
      <c r="PQ91" s="26"/>
      <c r="PR91" s="26"/>
    </row>
    <row r="92" spans="1:434" ht="25.5" x14ac:dyDescent="0.25">
      <c r="A92" s="24"/>
      <c r="B92" s="25" t="s">
        <v>158</v>
      </c>
      <c r="C92" s="24" t="s">
        <v>66</v>
      </c>
      <c r="D92" s="24" t="s">
        <v>73</v>
      </c>
      <c r="E92" s="24"/>
      <c r="F92" s="23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3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3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23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3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3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3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3"/>
      <c r="JT92" s="26"/>
      <c r="JU92" s="26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  <c r="KO92" s="26"/>
      <c r="KP92" s="26"/>
      <c r="KQ92" s="26"/>
      <c r="KR92" s="26"/>
      <c r="KS92" s="26"/>
      <c r="KT92" s="26"/>
      <c r="KU92" s="26"/>
      <c r="KV92" s="26"/>
      <c r="KW92" s="26"/>
      <c r="KX92" s="26"/>
      <c r="KY92" s="26"/>
      <c r="KZ92" s="26"/>
      <c r="LA92" s="26"/>
      <c r="LB92" s="26"/>
      <c r="LC92" s="26"/>
      <c r="LD92" s="26"/>
      <c r="LE92" s="26"/>
      <c r="LF92" s="23"/>
      <c r="LG92" s="26"/>
      <c r="LH92" s="26"/>
      <c r="LI92" s="26"/>
      <c r="LJ92" s="26"/>
      <c r="LK92" s="26"/>
      <c r="LL92" s="26"/>
      <c r="LM92" s="26"/>
      <c r="LN92" s="26"/>
      <c r="LO92" s="26"/>
      <c r="LP92" s="26"/>
      <c r="LQ92" s="26"/>
      <c r="LR92" s="26"/>
      <c r="LS92" s="26"/>
      <c r="LT92" s="26"/>
      <c r="LU92" s="26"/>
      <c r="LV92" s="26"/>
      <c r="LW92" s="26"/>
      <c r="LX92" s="26"/>
      <c r="LY92" s="26"/>
      <c r="LZ92" s="26"/>
      <c r="MA92" s="26"/>
      <c r="MB92" s="26"/>
      <c r="MC92" s="26"/>
      <c r="MD92" s="26"/>
      <c r="ME92" s="26"/>
      <c r="MF92" s="26"/>
      <c r="MG92" s="26"/>
      <c r="MH92" s="26"/>
      <c r="MI92" s="26"/>
      <c r="MJ92" s="26"/>
      <c r="MK92" s="26"/>
      <c r="ML92" s="26"/>
      <c r="MM92" s="26"/>
      <c r="MN92" s="26"/>
      <c r="MO92" s="26"/>
      <c r="MP92" s="26"/>
      <c r="MQ92" s="26"/>
      <c r="MR92" s="26"/>
      <c r="MS92" s="23"/>
      <c r="MT92" s="26"/>
      <c r="MU92" s="26"/>
      <c r="MV92" s="26"/>
      <c r="MW92" s="26"/>
      <c r="MX92" s="26"/>
      <c r="MY92" s="26"/>
      <c r="MZ92" s="26"/>
      <c r="NA92" s="26"/>
      <c r="NB92" s="26"/>
      <c r="NC92" s="26"/>
      <c r="ND92" s="26"/>
      <c r="NE92" s="26"/>
      <c r="NF92" s="26"/>
      <c r="NG92" s="26"/>
      <c r="NH92" s="26"/>
      <c r="NI92" s="26"/>
      <c r="NJ92" s="26"/>
      <c r="NK92" s="26"/>
      <c r="NL92" s="26"/>
      <c r="NM92" s="26"/>
      <c r="NN92" s="26"/>
      <c r="NO92" s="26"/>
      <c r="NP92" s="26"/>
      <c r="NQ92" s="26"/>
      <c r="NR92" s="26"/>
      <c r="NS92" s="26"/>
      <c r="NT92" s="26"/>
      <c r="NU92" s="26"/>
      <c r="NV92" s="26"/>
      <c r="NW92" s="26"/>
      <c r="NX92" s="26"/>
      <c r="NY92" s="26"/>
      <c r="NZ92" s="26"/>
      <c r="OA92" s="26"/>
      <c r="OB92" s="26"/>
      <c r="OC92" s="26"/>
      <c r="OD92" s="26"/>
      <c r="OE92" s="26"/>
      <c r="OF92" s="23"/>
      <c r="OG92" s="26"/>
      <c r="OH92" s="26"/>
      <c r="OI92" s="26"/>
      <c r="OJ92" s="26"/>
      <c r="OK92" s="26"/>
      <c r="OL92" s="26"/>
      <c r="OM92" s="26"/>
      <c r="ON92" s="26"/>
      <c r="OO92" s="26"/>
      <c r="OP92" s="26"/>
      <c r="OQ92" s="26"/>
      <c r="OR92" s="26"/>
      <c r="OS92" s="26"/>
      <c r="OT92" s="26"/>
      <c r="OU92" s="26"/>
      <c r="OV92" s="26"/>
      <c r="OW92" s="26"/>
      <c r="OX92" s="26"/>
      <c r="OY92" s="26"/>
      <c r="OZ92" s="26"/>
      <c r="PA92" s="26"/>
      <c r="PB92" s="26"/>
      <c r="PC92" s="26"/>
      <c r="PD92" s="26"/>
      <c r="PE92" s="26"/>
      <c r="PF92" s="26"/>
      <c r="PG92" s="26"/>
      <c r="PH92" s="26"/>
      <c r="PI92" s="26"/>
      <c r="PJ92" s="26"/>
      <c r="PK92" s="26"/>
      <c r="PL92" s="26"/>
      <c r="PM92" s="26"/>
      <c r="PN92" s="26"/>
      <c r="PO92" s="26"/>
      <c r="PP92" s="26"/>
      <c r="PQ92" s="26"/>
      <c r="PR92" s="26"/>
    </row>
    <row r="93" spans="1:434" ht="25.5" x14ac:dyDescent="0.25">
      <c r="A93" s="24"/>
      <c r="B93" s="25" t="s">
        <v>159</v>
      </c>
      <c r="C93" s="24" t="s">
        <v>66</v>
      </c>
      <c r="D93" s="24" t="s">
        <v>73</v>
      </c>
      <c r="E93" s="24"/>
      <c r="F93" s="23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3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3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23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3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3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3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3"/>
      <c r="JT93" s="26"/>
      <c r="JU93" s="26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  <c r="KO93" s="26"/>
      <c r="KP93" s="26"/>
      <c r="KQ93" s="26"/>
      <c r="KR93" s="26"/>
      <c r="KS93" s="26"/>
      <c r="KT93" s="26"/>
      <c r="KU93" s="26"/>
      <c r="KV93" s="26"/>
      <c r="KW93" s="26"/>
      <c r="KX93" s="26"/>
      <c r="KY93" s="26"/>
      <c r="KZ93" s="26"/>
      <c r="LA93" s="26"/>
      <c r="LB93" s="26"/>
      <c r="LC93" s="26"/>
      <c r="LD93" s="26"/>
      <c r="LE93" s="26"/>
      <c r="LF93" s="23"/>
      <c r="LG93" s="26"/>
      <c r="LH93" s="26"/>
      <c r="LI93" s="26"/>
      <c r="LJ93" s="26"/>
      <c r="LK93" s="26"/>
      <c r="LL93" s="26"/>
      <c r="LM93" s="26"/>
      <c r="LN93" s="26"/>
      <c r="LO93" s="26"/>
      <c r="LP93" s="26"/>
      <c r="LQ93" s="26"/>
      <c r="LR93" s="26"/>
      <c r="LS93" s="26"/>
      <c r="LT93" s="26"/>
      <c r="LU93" s="26"/>
      <c r="LV93" s="26"/>
      <c r="LW93" s="26"/>
      <c r="LX93" s="26"/>
      <c r="LY93" s="26"/>
      <c r="LZ93" s="26"/>
      <c r="MA93" s="26"/>
      <c r="MB93" s="26"/>
      <c r="MC93" s="26"/>
      <c r="MD93" s="26"/>
      <c r="ME93" s="26"/>
      <c r="MF93" s="26"/>
      <c r="MG93" s="26"/>
      <c r="MH93" s="26"/>
      <c r="MI93" s="26"/>
      <c r="MJ93" s="26"/>
      <c r="MK93" s="26"/>
      <c r="ML93" s="26"/>
      <c r="MM93" s="26"/>
      <c r="MN93" s="26"/>
      <c r="MO93" s="26"/>
      <c r="MP93" s="26"/>
      <c r="MQ93" s="26"/>
      <c r="MR93" s="26"/>
      <c r="MS93" s="23"/>
      <c r="MT93" s="26"/>
      <c r="MU93" s="26"/>
      <c r="MV93" s="26"/>
      <c r="MW93" s="26"/>
      <c r="MX93" s="26"/>
      <c r="MY93" s="26"/>
      <c r="MZ93" s="26"/>
      <c r="NA93" s="26"/>
      <c r="NB93" s="26"/>
      <c r="NC93" s="26"/>
      <c r="ND93" s="26"/>
      <c r="NE93" s="26"/>
      <c r="NF93" s="26"/>
      <c r="NG93" s="26"/>
      <c r="NH93" s="26"/>
      <c r="NI93" s="26"/>
      <c r="NJ93" s="26"/>
      <c r="NK93" s="26"/>
      <c r="NL93" s="26"/>
      <c r="NM93" s="26"/>
      <c r="NN93" s="26"/>
      <c r="NO93" s="26"/>
      <c r="NP93" s="26"/>
      <c r="NQ93" s="26"/>
      <c r="NR93" s="26"/>
      <c r="NS93" s="26"/>
      <c r="NT93" s="26"/>
      <c r="NU93" s="26"/>
      <c r="NV93" s="26"/>
      <c r="NW93" s="26"/>
      <c r="NX93" s="26"/>
      <c r="NY93" s="26"/>
      <c r="NZ93" s="26"/>
      <c r="OA93" s="26"/>
      <c r="OB93" s="26"/>
      <c r="OC93" s="26"/>
      <c r="OD93" s="26"/>
      <c r="OE93" s="26"/>
      <c r="OF93" s="23"/>
      <c r="OG93" s="26"/>
      <c r="OH93" s="26"/>
      <c r="OI93" s="26"/>
      <c r="OJ93" s="26"/>
      <c r="OK93" s="26"/>
      <c r="OL93" s="26"/>
      <c r="OM93" s="26"/>
      <c r="ON93" s="26"/>
      <c r="OO93" s="26"/>
      <c r="OP93" s="26"/>
      <c r="OQ93" s="26"/>
      <c r="OR93" s="26"/>
      <c r="OS93" s="26"/>
      <c r="OT93" s="26"/>
      <c r="OU93" s="26"/>
      <c r="OV93" s="26"/>
      <c r="OW93" s="26"/>
      <c r="OX93" s="26"/>
      <c r="OY93" s="26"/>
      <c r="OZ93" s="26"/>
      <c r="PA93" s="26"/>
      <c r="PB93" s="26"/>
      <c r="PC93" s="26"/>
      <c r="PD93" s="26"/>
      <c r="PE93" s="26"/>
      <c r="PF93" s="26"/>
      <c r="PG93" s="26"/>
      <c r="PH93" s="26"/>
      <c r="PI93" s="26"/>
      <c r="PJ93" s="26"/>
      <c r="PK93" s="26"/>
      <c r="PL93" s="26"/>
      <c r="PM93" s="26"/>
      <c r="PN93" s="26"/>
      <c r="PO93" s="26"/>
      <c r="PP93" s="26"/>
      <c r="PQ93" s="26"/>
      <c r="PR93" s="26"/>
    </row>
    <row r="94" spans="1:434" x14ac:dyDescent="0.25">
      <c r="A94" s="24"/>
      <c r="B94" s="25" t="s">
        <v>160</v>
      </c>
      <c r="C94" s="24" t="s">
        <v>70</v>
      </c>
      <c r="D94" s="24" t="s">
        <v>76</v>
      </c>
      <c r="E94" s="24"/>
      <c r="F94" s="23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3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3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23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3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3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3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3"/>
      <c r="JT94" s="26"/>
      <c r="JU94" s="26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  <c r="KO94" s="26"/>
      <c r="KP94" s="26"/>
      <c r="KQ94" s="26"/>
      <c r="KR94" s="26"/>
      <c r="KS94" s="26"/>
      <c r="KT94" s="26"/>
      <c r="KU94" s="26"/>
      <c r="KV94" s="26"/>
      <c r="KW94" s="26"/>
      <c r="KX94" s="26"/>
      <c r="KY94" s="26"/>
      <c r="KZ94" s="26"/>
      <c r="LA94" s="26"/>
      <c r="LB94" s="26"/>
      <c r="LC94" s="26"/>
      <c r="LD94" s="26"/>
      <c r="LE94" s="26"/>
      <c r="LF94" s="23"/>
      <c r="LG94" s="26"/>
      <c r="LH94" s="26"/>
      <c r="LI94" s="26"/>
      <c r="LJ94" s="26"/>
      <c r="LK94" s="26"/>
      <c r="LL94" s="26"/>
      <c r="LM94" s="26"/>
      <c r="LN94" s="26"/>
      <c r="LO94" s="26"/>
      <c r="LP94" s="26"/>
      <c r="LQ94" s="26"/>
      <c r="LR94" s="26"/>
      <c r="LS94" s="26"/>
      <c r="LT94" s="26"/>
      <c r="LU94" s="26"/>
      <c r="LV94" s="26"/>
      <c r="LW94" s="26"/>
      <c r="LX94" s="26"/>
      <c r="LY94" s="26"/>
      <c r="LZ94" s="26"/>
      <c r="MA94" s="26"/>
      <c r="MB94" s="26"/>
      <c r="MC94" s="26"/>
      <c r="MD94" s="26"/>
      <c r="ME94" s="26"/>
      <c r="MF94" s="26"/>
      <c r="MG94" s="26"/>
      <c r="MH94" s="26"/>
      <c r="MI94" s="26"/>
      <c r="MJ94" s="26"/>
      <c r="MK94" s="26"/>
      <c r="ML94" s="26"/>
      <c r="MM94" s="26"/>
      <c r="MN94" s="26"/>
      <c r="MO94" s="26"/>
      <c r="MP94" s="26"/>
      <c r="MQ94" s="26"/>
      <c r="MR94" s="26"/>
      <c r="MS94" s="23"/>
      <c r="MT94" s="26"/>
      <c r="MU94" s="26"/>
      <c r="MV94" s="26"/>
      <c r="MW94" s="26"/>
      <c r="MX94" s="26"/>
      <c r="MY94" s="26"/>
      <c r="MZ94" s="26"/>
      <c r="NA94" s="26"/>
      <c r="NB94" s="26"/>
      <c r="NC94" s="26"/>
      <c r="ND94" s="26"/>
      <c r="NE94" s="26"/>
      <c r="NF94" s="26"/>
      <c r="NG94" s="26"/>
      <c r="NH94" s="26"/>
      <c r="NI94" s="26"/>
      <c r="NJ94" s="26"/>
      <c r="NK94" s="26"/>
      <c r="NL94" s="26"/>
      <c r="NM94" s="26"/>
      <c r="NN94" s="26"/>
      <c r="NO94" s="26"/>
      <c r="NP94" s="26"/>
      <c r="NQ94" s="26"/>
      <c r="NR94" s="26"/>
      <c r="NS94" s="26"/>
      <c r="NT94" s="26"/>
      <c r="NU94" s="26"/>
      <c r="NV94" s="26"/>
      <c r="NW94" s="26"/>
      <c r="NX94" s="26"/>
      <c r="NY94" s="26"/>
      <c r="NZ94" s="26"/>
      <c r="OA94" s="26"/>
      <c r="OB94" s="26"/>
      <c r="OC94" s="26"/>
      <c r="OD94" s="26"/>
      <c r="OE94" s="26"/>
      <c r="OF94" s="23"/>
      <c r="OG94" s="26"/>
      <c r="OH94" s="26"/>
      <c r="OI94" s="26"/>
      <c r="OJ94" s="26"/>
      <c r="OK94" s="26"/>
      <c r="OL94" s="26"/>
      <c r="OM94" s="26"/>
      <c r="ON94" s="26"/>
      <c r="OO94" s="26"/>
      <c r="OP94" s="26"/>
      <c r="OQ94" s="26"/>
      <c r="OR94" s="26"/>
      <c r="OS94" s="26"/>
      <c r="OT94" s="26"/>
      <c r="OU94" s="26"/>
      <c r="OV94" s="26"/>
      <c r="OW94" s="26"/>
      <c r="OX94" s="26"/>
      <c r="OY94" s="26"/>
      <c r="OZ94" s="26"/>
      <c r="PA94" s="26"/>
      <c r="PB94" s="26"/>
      <c r="PC94" s="26"/>
      <c r="PD94" s="26"/>
      <c r="PE94" s="26"/>
      <c r="PF94" s="26"/>
      <c r="PG94" s="26"/>
      <c r="PH94" s="26"/>
      <c r="PI94" s="26"/>
      <c r="PJ94" s="26"/>
      <c r="PK94" s="26"/>
      <c r="PL94" s="26"/>
      <c r="PM94" s="26"/>
      <c r="PN94" s="26"/>
      <c r="PO94" s="26"/>
      <c r="PP94" s="26"/>
      <c r="PQ94" s="26"/>
      <c r="PR94" s="26"/>
    </row>
    <row r="95" spans="1:434" x14ac:dyDescent="0.25">
      <c r="A95" s="24"/>
      <c r="B95" s="25" t="s">
        <v>161</v>
      </c>
      <c r="C95" s="24" t="s">
        <v>66</v>
      </c>
      <c r="D95" s="24" t="s">
        <v>76</v>
      </c>
      <c r="E95" s="24"/>
      <c r="F95" s="23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3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3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23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3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3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3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3"/>
      <c r="JT95" s="26"/>
      <c r="JU95" s="26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  <c r="KO95" s="26"/>
      <c r="KP95" s="26"/>
      <c r="KQ95" s="26"/>
      <c r="KR95" s="26"/>
      <c r="KS95" s="26"/>
      <c r="KT95" s="26"/>
      <c r="KU95" s="26"/>
      <c r="KV95" s="26"/>
      <c r="KW95" s="26"/>
      <c r="KX95" s="26"/>
      <c r="KY95" s="26"/>
      <c r="KZ95" s="26"/>
      <c r="LA95" s="26"/>
      <c r="LB95" s="26"/>
      <c r="LC95" s="26"/>
      <c r="LD95" s="26"/>
      <c r="LE95" s="26"/>
      <c r="LF95" s="23"/>
      <c r="LG95" s="26"/>
      <c r="LH95" s="26"/>
      <c r="LI95" s="26"/>
      <c r="LJ95" s="26"/>
      <c r="LK95" s="26"/>
      <c r="LL95" s="26"/>
      <c r="LM95" s="26"/>
      <c r="LN95" s="26"/>
      <c r="LO95" s="26"/>
      <c r="LP95" s="26"/>
      <c r="LQ95" s="26"/>
      <c r="LR95" s="26"/>
      <c r="LS95" s="26"/>
      <c r="LT95" s="26"/>
      <c r="LU95" s="26"/>
      <c r="LV95" s="26"/>
      <c r="LW95" s="26"/>
      <c r="LX95" s="26"/>
      <c r="LY95" s="26"/>
      <c r="LZ95" s="26"/>
      <c r="MA95" s="26"/>
      <c r="MB95" s="26"/>
      <c r="MC95" s="26"/>
      <c r="MD95" s="26"/>
      <c r="ME95" s="26"/>
      <c r="MF95" s="26"/>
      <c r="MG95" s="26"/>
      <c r="MH95" s="26"/>
      <c r="MI95" s="26"/>
      <c r="MJ95" s="26"/>
      <c r="MK95" s="26"/>
      <c r="ML95" s="26"/>
      <c r="MM95" s="26"/>
      <c r="MN95" s="26"/>
      <c r="MO95" s="26"/>
      <c r="MP95" s="26"/>
      <c r="MQ95" s="26"/>
      <c r="MR95" s="26"/>
      <c r="MS95" s="23"/>
      <c r="MT95" s="26"/>
      <c r="MU95" s="26"/>
      <c r="MV95" s="26"/>
      <c r="MW95" s="26"/>
      <c r="MX95" s="26"/>
      <c r="MY95" s="26"/>
      <c r="MZ95" s="26"/>
      <c r="NA95" s="26"/>
      <c r="NB95" s="26"/>
      <c r="NC95" s="26"/>
      <c r="ND95" s="26"/>
      <c r="NE95" s="26"/>
      <c r="NF95" s="26"/>
      <c r="NG95" s="26"/>
      <c r="NH95" s="26"/>
      <c r="NI95" s="26"/>
      <c r="NJ95" s="26"/>
      <c r="NK95" s="26"/>
      <c r="NL95" s="26"/>
      <c r="NM95" s="26"/>
      <c r="NN95" s="26"/>
      <c r="NO95" s="26"/>
      <c r="NP95" s="26"/>
      <c r="NQ95" s="26"/>
      <c r="NR95" s="26"/>
      <c r="NS95" s="26"/>
      <c r="NT95" s="26"/>
      <c r="NU95" s="26"/>
      <c r="NV95" s="26"/>
      <c r="NW95" s="26"/>
      <c r="NX95" s="26"/>
      <c r="NY95" s="26"/>
      <c r="NZ95" s="26"/>
      <c r="OA95" s="26"/>
      <c r="OB95" s="26"/>
      <c r="OC95" s="26"/>
      <c r="OD95" s="26"/>
      <c r="OE95" s="26"/>
      <c r="OF95" s="23"/>
      <c r="OG95" s="26"/>
      <c r="OH95" s="26"/>
      <c r="OI95" s="26"/>
      <c r="OJ95" s="26"/>
      <c r="OK95" s="26"/>
      <c r="OL95" s="26"/>
      <c r="OM95" s="26"/>
      <c r="ON95" s="26"/>
      <c r="OO95" s="26"/>
      <c r="OP95" s="26"/>
      <c r="OQ95" s="26"/>
      <c r="OR95" s="26"/>
      <c r="OS95" s="26"/>
      <c r="OT95" s="26"/>
      <c r="OU95" s="26"/>
      <c r="OV95" s="26"/>
      <c r="OW95" s="26"/>
      <c r="OX95" s="26"/>
      <c r="OY95" s="26"/>
      <c r="OZ95" s="26"/>
      <c r="PA95" s="26"/>
      <c r="PB95" s="26"/>
      <c r="PC95" s="26"/>
      <c r="PD95" s="26"/>
      <c r="PE95" s="26"/>
      <c r="PF95" s="26"/>
      <c r="PG95" s="26"/>
      <c r="PH95" s="26"/>
      <c r="PI95" s="26"/>
      <c r="PJ95" s="26"/>
      <c r="PK95" s="26"/>
      <c r="PL95" s="26"/>
      <c r="PM95" s="26"/>
      <c r="PN95" s="26"/>
      <c r="PO95" s="26"/>
      <c r="PP95" s="26"/>
      <c r="PQ95" s="26"/>
      <c r="PR95" s="26"/>
    </row>
    <row r="96" spans="1:434" ht="25.5" x14ac:dyDescent="0.25">
      <c r="A96" s="24"/>
      <c r="B96" s="25" t="s">
        <v>162</v>
      </c>
      <c r="C96" s="24" t="s">
        <v>70</v>
      </c>
      <c r="D96" s="24" t="s">
        <v>73</v>
      </c>
      <c r="E96" s="24"/>
      <c r="F96" s="23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3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3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23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3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3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3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3"/>
      <c r="JT96" s="26"/>
      <c r="JU96" s="26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  <c r="KO96" s="26"/>
      <c r="KP96" s="26"/>
      <c r="KQ96" s="26"/>
      <c r="KR96" s="26"/>
      <c r="KS96" s="26"/>
      <c r="KT96" s="26"/>
      <c r="KU96" s="26"/>
      <c r="KV96" s="26"/>
      <c r="KW96" s="26"/>
      <c r="KX96" s="26"/>
      <c r="KY96" s="26"/>
      <c r="KZ96" s="26"/>
      <c r="LA96" s="26"/>
      <c r="LB96" s="26"/>
      <c r="LC96" s="26"/>
      <c r="LD96" s="26"/>
      <c r="LE96" s="26"/>
      <c r="LF96" s="23"/>
      <c r="LG96" s="26"/>
      <c r="LH96" s="26"/>
      <c r="LI96" s="26"/>
      <c r="LJ96" s="26"/>
      <c r="LK96" s="26"/>
      <c r="LL96" s="26"/>
      <c r="LM96" s="26"/>
      <c r="LN96" s="26"/>
      <c r="LO96" s="26"/>
      <c r="LP96" s="26"/>
      <c r="LQ96" s="26"/>
      <c r="LR96" s="26"/>
      <c r="LS96" s="26"/>
      <c r="LT96" s="26"/>
      <c r="LU96" s="26"/>
      <c r="LV96" s="26"/>
      <c r="LW96" s="26"/>
      <c r="LX96" s="26"/>
      <c r="LY96" s="26"/>
      <c r="LZ96" s="26"/>
      <c r="MA96" s="26"/>
      <c r="MB96" s="26"/>
      <c r="MC96" s="26"/>
      <c r="MD96" s="26"/>
      <c r="ME96" s="26"/>
      <c r="MF96" s="26"/>
      <c r="MG96" s="26"/>
      <c r="MH96" s="26"/>
      <c r="MI96" s="26"/>
      <c r="MJ96" s="26"/>
      <c r="MK96" s="26"/>
      <c r="ML96" s="26"/>
      <c r="MM96" s="26"/>
      <c r="MN96" s="26"/>
      <c r="MO96" s="26"/>
      <c r="MP96" s="26"/>
      <c r="MQ96" s="26"/>
      <c r="MR96" s="26"/>
      <c r="MS96" s="23"/>
      <c r="MT96" s="26"/>
      <c r="MU96" s="26"/>
      <c r="MV96" s="26"/>
      <c r="MW96" s="26"/>
      <c r="MX96" s="26"/>
      <c r="MY96" s="26"/>
      <c r="MZ96" s="26"/>
      <c r="NA96" s="26"/>
      <c r="NB96" s="26"/>
      <c r="NC96" s="26"/>
      <c r="ND96" s="26"/>
      <c r="NE96" s="26"/>
      <c r="NF96" s="26"/>
      <c r="NG96" s="26"/>
      <c r="NH96" s="26"/>
      <c r="NI96" s="26"/>
      <c r="NJ96" s="26"/>
      <c r="NK96" s="26"/>
      <c r="NL96" s="26"/>
      <c r="NM96" s="26"/>
      <c r="NN96" s="26"/>
      <c r="NO96" s="26"/>
      <c r="NP96" s="26"/>
      <c r="NQ96" s="26"/>
      <c r="NR96" s="26"/>
      <c r="NS96" s="26"/>
      <c r="NT96" s="26"/>
      <c r="NU96" s="26"/>
      <c r="NV96" s="26"/>
      <c r="NW96" s="26"/>
      <c r="NX96" s="26"/>
      <c r="NY96" s="26"/>
      <c r="NZ96" s="26"/>
      <c r="OA96" s="26"/>
      <c r="OB96" s="26"/>
      <c r="OC96" s="26"/>
      <c r="OD96" s="26"/>
      <c r="OE96" s="26"/>
      <c r="OF96" s="23"/>
      <c r="OG96" s="26"/>
      <c r="OH96" s="26"/>
      <c r="OI96" s="26"/>
      <c r="OJ96" s="26"/>
      <c r="OK96" s="26"/>
      <c r="OL96" s="26"/>
      <c r="OM96" s="26"/>
      <c r="ON96" s="26"/>
      <c r="OO96" s="26"/>
      <c r="OP96" s="26"/>
      <c r="OQ96" s="26"/>
      <c r="OR96" s="26"/>
      <c r="OS96" s="26"/>
      <c r="OT96" s="26"/>
      <c r="OU96" s="26"/>
      <c r="OV96" s="26"/>
      <c r="OW96" s="26"/>
      <c r="OX96" s="26"/>
      <c r="OY96" s="26"/>
      <c r="OZ96" s="26"/>
      <c r="PA96" s="26"/>
      <c r="PB96" s="26"/>
      <c r="PC96" s="26"/>
      <c r="PD96" s="26"/>
      <c r="PE96" s="26"/>
      <c r="PF96" s="26"/>
      <c r="PG96" s="26"/>
      <c r="PH96" s="26"/>
      <c r="PI96" s="26"/>
      <c r="PJ96" s="26"/>
      <c r="PK96" s="26"/>
      <c r="PL96" s="26"/>
      <c r="PM96" s="26"/>
      <c r="PN96" s="26"/>
      <c r="PO96" s="26"/>
      <c r="PP96" s="26"/>
      <c r="PQ96" s="26"/>
      <c r="PR96" s="26"/>
    </row>
    <row r="97" spans="1:434" ht="21.95" customHeight="1" x14ac:dyDescent="0.25">
      <c r="A97" s="87" t="s">
        <v>163</v>
      </c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  <c r="FU97" s="88"/>
      <c r="FV97" s="88"/>
      <c r="FW97" s="88"/>
      <c r="FX97" s="88"/>
      <c r="FY97" s="88"/>
      <c r="FZ97" s="88"/>
      <c r="GA97" s="88"/>
      <c r="GB97" s="88"/>
      <c r="GC97" s="88"/>
      <c r="GD97" s="88"/>
      <c r="GE97" s="88"/>
      <c r="GF97" s="88"/>
      <c r="GG97" s="88"/>
      <c r="GH97" s="88"/>
      <c r="GI97" s="88"/>
      <c r="GJ97" s="88"/>
      <c r="GK97" s="88"/>
      <c r="GL97" s="88"/>
      <c r="GM97" s="88"/>
      <c r="GN97" s="88"/>
      <c r="GO97" s="88"/>
      <c r="GP97" s="88"/>
      <c r="GQ97" s="88"/>
      <c r="GR97" s="88"/>
      <c r="GS97" s="88"/>
      <c r="GT97" s="88"/>
      <c r="GU97" s="88"/>
      <c r="GV97" s="88"/>
      <c r="GW97" s="88"/>
      <c r="GX97" s="88"/>
      <c r="GY97" s="88"/>
      <c r="GZ97" s="88"/>
      <c r="HA97" s="88"/>
      <c r="HB97" s="88"/>
      <c r="HC97" s="88"/>
      <c r="HD97" s="88"/>
      <c r="HE97" s="88"/>
      <c r="HF97" s="88"/>
      <c r="HG97" s="88"/>
      <c r="HH97" s="88"/>
      <c r="HI97" s="88"/>
      <c r="HJ97" s="88"/>
      <c r="HK97" s="88"/>
      <c r="HL97" s="88"/>
      <c r="HM97" s="88"/>
      <c r="HN97" s="88"/>
      <c r="HO97" s="88"/>
      <c r="HP97" s="88"/>
      <c r="HQ97" s="88"/>
      <c r="HR97" s="88"/>
      <c r="HS97" s="88"/>
      <c r="HT97" s="88"/>
      <c r="HU97" s="88"/>
      <c r="HV97" s="88"/>
      <c r="HW97" s="88"/>
      <c r="HX97" s="88"/>
      <c r="HY97" s="88"/>
      <c r="HZ97" s="88"/>
      <c r="IA97" s="88"/>
      <c r="IB97" s="88"/>
      <c r="IC97" s="88"/>
      <c r="ID97" s="88"/>
      <c r="IE97" s="88"/>
      <c r="IF97" s="88"/>
      <c r="IG97" s="88"/>
      <c r="IH97" s="88"/>
      <c r="II97" s="88"/>
      <c r="IJ97" s="88"/>
      <c r="IK97" s="88"/>
      <c r="IL97" s="88"/>
      <c r="IM97" s="88"/>
      <c r="IN97" s="88"/>
      <c r="IO97" s="88"/>
      <c r="IP97" s="88"/>
      <c r="IQ97" s="88"/>
      <c r="IR97" s="88"/>
      <c r="IS97" s="88"/>
      <c r="IT97" s="88"/>
      <c r="IU97" s="88"/>
      <c r="IV97" s="88"/>
      <c r="IW97" s="88"/>
      <c r="IX97" s="88"/>
      <c r="IY97" s="88"/>
      <c r="IZ97" s="88"/>
      <c r="JA97" s="88"/>
      <c r="JB97" s="88"/>
      <c r="JC97" s="88"/>
      <c r="JD97" s="88"/>
      <c r="JE97" s="88"/>
      <c r="JF97" s="88"/>
      <c r="JG97" s="88"/>
      <c r="JH97" s="88"/>
      <c r="JI97" s="88"/>
      <c r="JJ97" s="88"/>
      <c r="JK97" s="88"/>
      <c r="JL97" s="88"/>
      <c r="JM97" s="88"/>
      <c r="JN97" s="88"/>
      <c r="JO97" s="88"/>
      <c r="JP97" s="88"/>
      <c r="JQ97" s="88"/>
      <c r="JR97" s="88"/>
      <c r="JS97" s="88"/>
      <c r="JT97" s="88"/>
      <c r="JU97" s="88"/>
      <c r="JV97" s="88"/>
      <c r="JW97" s="88"/>
      <c r="JX97" s="88"/>
      <c r="JY97" s="88"/>
      <c r="JZ97" s="88"/>
      <c r="KA97" s="88"/>
      <c r="KB97" s="88"/>
      <c r="KC97" s="88"/>
      <c r="KD97" s="88"/>
      <c r="KE97" s="88"/>
      <c r="KF97" s="88"/>
      <c r="KG97" s="88"/>
      <c r="KH97" s="88"/>
      <c r="KI97" s="88"/>
      <c r="KJ97" s="88"/>
      <c r="KK97" s="88"/>
      <c r="KL97" s="88"/>
      <c r="KM97" s="88"/>
      <c r="KN97" s="88"/>
      <c r="KO97" s="88"/>
      <c r="KP97" s="88"/>
      <c r="KQ97" s="88"/>
      <c r="KR97" s="88"/>
      <c r="KS97" s="88"/>
      <c r="KT97" s="88"/>
      <c r="KU97" s="88"/>
      <c r="KV97" s="88"/>
      <c r="KW97" s="88"/>
      <c r="KX97" s="88"/>
      <c r="KY97" s="88"/>
      <c r="KZ97" s="88"/>
      <c r="LA97" s="88"/>
      <c r="LB97" s="88"/>
      <c r="LC97" s="88"/>
      <c r="LD97" s="88"/>
      <c r="LE97" s="88"/>
      <c r="LF97" s="88"/>
      <c r="LG97" s="88"/>
      <c r="LH97" s="88"/>
      <c r="LI97" s="88"/>
      <c r="LJ97" s="88"/>
      <c r="LK97" s="88"/>
      <c r="LL97" s="88"/>
      <c r="LM97" s="88"/>
      <c r="LN97" s="88"/>
      <c r="LO97" s="88"/>
      <c r="LP97" s="88"/>
      <c r="LQ97" s="88"/>
      <c r="LR97" s="88"/>
      <c r="LS97" s="88"/>
      <c r="LT97" s="88"/>
      <c r="LU97" s="88"/>
      <c r="LV97" s="88"/>
      <c r="LW97" s="88"/>
      <c r="LX97" s="88"/>
      <c r="LY97" s="88"/>
      <c r="LZ97" s="88"/>
      <c r="MA97" s="88"/>
      <c r="MB97" s="88"/>
      <c r="MC97" s="88"/>
      <c r="MD97" s="88"/>
      <c r="ME97" s="88"/>
      <c r="MF97" s="88"/>
      <c r="MG97" s="88"/>
      <c r="MH97" s="88"/>
      <c r="MI97" s="88"/>
      <c r="MJ97" s="88"/>
      <c r="MK97" s="88"/>
      <c r="ML97" s="88"/>
      <c r="MM97" s="88"/>
      <c r="MN97" s="88"/>
      <c r="MO97" s="88"/>
      <c r="MP97" s="88"/>
      <c r="MQ97" s="88"/>
      <c r="MR97" s="88"/>
      <c r="MS97" s="88"/>
      <c r="MT97" s="88"/>
      <c r="MU97" s="88"/>
      <c r="MV97" s="88"/>
      <c r="MW97" s="88"/>
      <c r="MX97" s="88"/>
      <c r="MY97" s="88"/>
      <c r="MZ97" s="88"/>
      <c r="NA97" s="88"/>
      <c r="NB97" s="88"/>
      <c r="NC97" s="88"/>
      <c r="ND97" s="88"/>
      <c r="NE97" s="88"/>
      <c r="NF97" s="88"/>
      <c r="NG97" s="88"/>
      <c r="NH97" s="88"/>
      <c r="NI97" s="88"/>
      <c r="NJ97" s="88"/>
      <c r="NK97" s="88"/>
      <c r="NL97" s="88"/>
      <c r="NM97" s="88"/>
      <c r="NN97" s="88"/>
      <c r="NO97" s="88"/>
      <c r="NP97" s="88"/>
      <c r="NQ97" s="88"/>
      <c r="NR97" s="88"/>
      <c r="NS97" s="88"/>
      <c r="NT97" s="88"/>
      <c r="NU97" s="88"/>
      <c r="NV97" s="88"/>
      <c r="NW97" s="88"/>
      <c r="NX97" s="88"/>
      <c r="NY97" s="88"/>
      <c r="NZ97" s="88"/>
      <c r="OA97" s="88"/>
      <c r="OB97" s="88"/>
      <c r="OC97" s="88"/>
      <c r="OD97" s="88"/>
      <c r="OE97" s="88"/>
      <c r="OF97" s="88"/>
      <c r="OG97" s="88"/>
      <c r="OH97" s="88"/>
      <c r="OI97" s="88"/>
      <c r="OJ97" s="88"/>
      <c r="OK97" s="88"/>
      <c r="OL97" s="88"/>
      <c r="OM97" s="88"/>
      <c r="ON97" s="88"/>
      <c r="OO97" s="88"/>
      <c r="OP97" s="88"/>
      <c r="OQ97" s="88"/>
      <c r="OR97" s="88"/>
      <c r="OS97" s="88"/>
      <c r="OT97" s="88"/>
      <c r="OU97" s="88"/>
      <c r="OV97" s="88"/>
      <c r="OW97" s="88"/>
      <c r="OX97" s="88"/>
      <c r="OY97" s="88"/>
      <c r="OZ97" s="88"/>
      <c r="PA97" s="88"/>
      <c r="PB97" s="88"/>
      <c r="PC97" s="88"/>
      <c r="PD97" s="88"/>
      <c r="PE97" s="88"/>
      <c r="PF97" s="88"/>
      <c r="PG97" s="88"/>
      <c r="PH97" s="88"/>
      <c r="PI97" s="88"/>
      <c r="PJ97" s="88"/>
      <c r="PK97" s="88"/>
      <c r="PL97" s="88"/>
      <c r="PM97" s="88"/>
      <c r="PN97" s="88"/>
      <c r="PO97" s="88"/>
      <c r="PP97" s="88"/>
      <c r="PQ97" s="88"/>
      <c r="PR97" s="89"/>
    </row>
    <row r="98" spans="1:434" x14ac:dyDescent="0.25">
      <c r="A98" s="24"/>
      <c r="B98" s="25" t="s">
        <v>164</v>
      </c>
      <c r="C98" s="24" t="s">
        <v>70</v>
      </c>
      <c r="D98" s="24" t="s">
        <v>67</v>
      </c>
      <c r="E98" s="24"/>
      <c r="F98" s="23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3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83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23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3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3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3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3"/>
      <c r="JT98" s="26"/>
      <c r="JU98" s="26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6"/>
      <c r="KR98" s="26"/>
      <c r="KS98" s="26"/>
      <c r="KT98" s="26"/>
      <c r="KU98" s="26"/>
      <c r="KV98" s="26"/>
      <c r="KW98" s="26"/>
      <c r="KX98" s="26"/>
      <c r="KY98" s="26"/>
      <c r="KZ98" s="26"/>
      <c r="LA98" s="26"/>
      <c r="LB98" s="26"/>
      <c r="LC98" s="26"/>
      <c r="LD98" s="26"/>
      <c r="LE98" s="26"/>
      <c r="LF98" s="23"/>
      <c r="LG98" s="26"/>
      <c r="LH98" s="26"/>
      <c r="LI98" s="26"/>
      <c r="LJ98" s="26"/>
      <c r="LK98" s="26"/>
      <c r="LL98" s="26"/>
      <c r="LM98" s="26"/>
      <c r="LN98" s="26"/>
      <c r="LO98" s="26"/>
      <c r="LP98" s="26"/>
      <c r="LQ98" s="26"/>
      <c r="LR98" s="26"/>
      <c r="LS98" s="26"/>
      <c r="LT98" s="26"/>
      <c r="LU98" s="26"/>
      <c r="LV98" s="26"/>
      <c r="LW98" s="26"/>
      <c r="LX98" s="26"/>
      <c r="LY98" s="26"/>
      <c r="LZ98" s="26"/>
      <c r="MA98" s="26"/>
      <c r="MB98" s="26"/>
      <c r="MC98" s="26"/>
      <c r="MD98" s="26"/>
      <c r="ME98" s="26"/>
      <c r="MF98" s="26"/>
      <c r="MG98" s="26"/>
      <c r="MH98" s="26"/>
      <c r="MI98" s="26"/>
      <c r="MJ98" s="26"/>
      <c r="MK98" s="26"/>
      <c r="ML98" s="26"/>
      <c r="MM98" s="26"/>
      <c r="MN98" s="26"/>
      <c r="MO98" s="26"/>
      <c r="MP98" s="26"/>
      <c r="MQ98" s="26"/>
      <c r="MR98" s="26"/>
      <c r="MS98" s="23"/>
      <c r="MT98" s="26"/>
      <c r="MU98" s="26"/>
      <c r="MV98" s="26"/>
      <c r="MW98" s="26"/>
      <c r="MX98" s="26"/>
      <c r="MY98" s="26"/>
      <c r="MZ98" s="26"/>
      <c r="NA98" s="26"/>
      <c r="NB98" s="26"/>
      <c r="NC98" s="26"/>
      <c r="ND98" s="26"/>
      <c r="NE98" s="26"/>
      <c r="NF98" s="26"/>
      <c r="NG98" s="26"/>
      <c r="NH98" s="26"/>
      <c r="NI98" s="26"/>
      <c r="NJ98" s="26"/>
      <c r="NK98" s="26"/>
      <c r="NL98" s="26"/>
      <c r="NM98" s="26"/>
      <c r="NN98" s="26"/>
      <c r="NO98" s="26"/>
      <c r="NP98" s="26"/>
      <c r="NQ98" s="26"/>
      <c r="NR98" s="26"/>
      <c r="NS98" s="26"/>
      <c r="NT98" s="26"/>
      <c r="NU98" s="26"/>
      <c r="NV98" s="26"/>
      <c r="NW98" s="26"/>
      <c r="NX98" s="26"/>
      <c r="NY98" s="26"/>
      <c r="NZ98" s="26"/>
      <c r="OA98" s="26"/>
      <c r="OB98" s="26"/>
      <c r="OC98" s="26"/>
      <c r="OD98" s="26"/>
      <c r="OE98" s="26"/>
      <c r="OF98" s="23"/>
      <c r="OG98" s="26"/>
      <c r="OH98" s="26"/>
      <c r="OI98" s="26"/>
      <c r="OJ98" s="26"/>
      <c r="OK98" s="26"/>
      <c r="OL98" s="26"/>
      <c r="OM98" s="26"/>
      <c r="ON98" s="26"/>
      <c r="OO98" s="26"/>
      <c r="OP98" s="26"/>
      <c r="OQ98" s="26"/>
      <c r="OR98" s="26"/>
      <c r="OS98" s="26"/>
      <c r="OT98" s="26"/>
      <c r="OU98" s="26"/>
      <c r="OV98" s="26"/>
      <c r="OW98" s="26"/>
      <c r="OX98" s="26"/>
      <c r="OY98" s="26"/>
      <c r="OZ98" s="26"/>
      <c r="PA98" s="26"/>
      <c r="PB98" s="26"/>
      <c r="PC98" s="26"/>
      <c r="PD98" s="26"/>
      <c r="PE98" s="26"/>
      <c r="PF98" s="26"/>
      <c r="PG98" s="26"/>
      <c r="PH98" s="26"/>
      <c r="PI98" s="26"/>
      <c r="PJ98" s="26"/>
      <c r="PK98" s="26"/>
      <c r="PL98" s="26"/>
      <c r="PM98" s="26"/>
      <c r="PN98" s="26"/>
      <c r="PO98" s="26"/>
      <c r="PP98" s="26"/>
      <c r="PQ98" s="26"/>
      <c r="PR98" s="26"/>
    </row>
    <row r="99" spans="1:434" x14ac:dyDescent="0.25">
      <c r="A99" s="24"/>
      <c r="B99" s="25" t="s">
        <v>165</v>
      </c>
      <c r="C99" s="24" t="s">
        <v>70</v>
      </c>
      <c r="D99" s="24" t="s">
        <v>67</v>
      </c>
      <c r="E99" s="24"/>
      <c r="F99" s="23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3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83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23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3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3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3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3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6"/>
      <c r="KR99" s="26"/>
      <c r="KS99" s="26"/>
      <c r="KT99" s="26"/>
      <c r="KU99" s="26"/>
      <c r="KV99" s="26"/>
      <c r="KW99" s="26"/>
      <c r="KX99" s="26"/>
      <c r="KY99" s="26"/>
      <c r="KZ99" s="26"/>
      <c r="LA99" s="26"/>
      <c r="LB99" s="26"/>
      <c r="LC99" s="26"/>
      <c r="LD99" s="26"/>
      <c r="LE99" s="26"/>
      <c r="LF99" s="23"/>
      <c r="LG99" s="26"/>
      <c r="LH99" s="26"/>
      <c r="LI99" s="26"/>
      <c r="LJ99" s="26"/>
      <c r="LK99" s="26"/>
      <c r="LL99" s="26"/>
      <c r="LM99" s="26"/>
      <c r="LN99" s="26"/>
      <c r="LO99" s="26"/>
      <c r="LP99" s="26"/>
      <c r="LQ99" s="26"/>
      <c r="LR99" s="26"/>
      <c r="LS99" s="26"/>
      <c r="LT99" s="26"/>
      <c r="LU99" s="26"/>
      <c r="LV99" s="26"/>
      <c r="LW99" s="26"/>
      <c r="LX99" s="26"/>
      <c r="LY99" s="26"/>
      <c r="LZ99" s="26"/>
      <c r="MA99" s="26"/>
      <c r="MB99" s="26"/>
      <c r="MC99" s="26"/>
      <c r="MD99" s="26"/>
      <c r="ME99" s="26"/>
      <c r="MF99" s="26"/>
      <c r="MG99" s="26"/>
      <c r="MH99" s="26"/>
      <c r="MI99" s="26"/>
      <c r="MJ99" s="26"/>
      <c r="MK99" s="26"/>
      <c r="ML99" s="26"/>
      <c r="MM99" s="26"/>
      <c r="MN99" s="26"/>
      <c r="MO99" s="26"/>
      <c r="MP99" s="26"/>
      <c r="MQ99" s="26"/>
      <c r="MR99" s="26"/>
      <c r="MS99" s="23"/>
      <c r="MT99" s="26"/>
      <c r="MU99" s="26"/>
      <c r="MV99" s="26"/>
      <c r="MW99" s="26"/>
      <c r="MX99" s="26"/>
      <c r="MY99" s="26"/>
      <c r="MZ99" s="26"/>
      <c r="NA99" s="26"/>
      <c r="NB99" s="26"/>
      <c r="NC99" s="26"/>
      <c r="ND99" s="26"/>
      <c r="NE99" s="26"/>
      <c r="NF99" s="26"/>
      <c r="NG99" s="26"/>
      <c r="NH99" s="26"/>
      <c r="NI99" s="26"/>
      <c r="NJ99" s="26"/>
      <c r="NK99" s="26"/>
      <c r="NL99" s="26"/>
      <c r="NM99" s="26"/>
      <c r="NN99" s="26"/>
      <c r="NO99" s="26"/>
      <c r="NP99" s="26"/>
      <c r="NQ99" s="26"/>
      <c r="NR99" s="26"/>
      <c r="NS99" s="26"/>
      <c r="NT99" s="26"/>
      <c r="NU99" s="26"/>
      <c r="NV99" s="26"/>
      <c r="NW99" s="26"/>
      <c r="NX99" s="26"/>
      <c r="NY99" s="26"/>
      <c r="NZ99" s="26"/>
      <c r="OA99" s="26"/>
      <c r="OB99" s="26"/>
      <c r="OC99" s="26"/>
      <c r="OD99" s="26"/>
      <c r="OE99" s="26"/>
      <c r="OF99" s="23"/>
      <c r="OG99" s="26"/>
      <c r="OH99" s="26"/>
      <c r="OI99" s="26"/>
      <c r="OJ99" s="26"/>
      <c r="OK99" s="26"/>
      <c r="OL99" s="26"/>
      <c r="OM99" s="26"/>
      <c r="ON99" s="26"/>
      <c r="OO99" s="26"/>
      <c r="OP99" s="26"/>
      <c r="OQ99" s="26"/>
      <c r="OR99" s="26"/>
      <c r="OS99" s="26"/>
      <c r="OT99" s="26"/>
      <c r="OU99" s="26"/>
      <c r="OV99" s="26"/>
      <c r="OW99" s="26"/>
      <c r="OX99" s="26"/>
      <c r="OY99" s="26"/>
      <c r="OZ99" s="26"/>
      <c r="PA99" s="26"/>
      <c r="PB99" s="26"/>
      <c r="PC99" s="26"/>
      <c r="PD99" s="26"/>
      <c r="PE99" s="26"/>
      <c r="PF99" s="26"/>
      <c r="PG99" s="26"/>
      <c r="PH99" s="26"/>
      <c r="PI99" s="26"/>
      <c r="PJ99" s="26"/>
      <c r="PK99" s="26"/>
      <c r="PL99" s="26"/>
      <c r="PM99" s="26"/>
      <c r="PN99" s="26"/>
      <c r="PO99" s="26"/>
      <c r="PP99" s="26"/>
      <c r="PQ99" s="26"/>
      <c r="PR99" s="26"/>
    </row>
    <row r="100" spans="1:434" x14ac:dyDescent="0.25">
      <c r="A100" s="24"/>
      <c r="B100" s="25" t="s">
        <v>166</v>
      </c>
      <c r="C100" s="24" t="s">
        <v>66</v>
      </c>
      <c r="D100" s="24" t="s">
        <v>67</v>
      </c>
      <c r="E100" s="24"/>
      <c r="F100" s="23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3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83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23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3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3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3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6"/>
      <c r="JO100" s="26"/>
      <c r="JP100" s="26"/>
      <c r="JQ100" s="26"/>
      <c r="JR100" s="26"/>
      <c r="JS100" s="23"/>
      <c r="JT100" s="26"/>
      <c r="JU100" s="26"/>
      <c r="JV100" s="26"/>
      <c r="JW100" s="26"/>
      <c r="JX100" s="26"/>
      <c r="JY100" s="26"/>
      <c r="JZ100" s="26"/>
      <c r="KA100" s="26"/>
      <c r="KB100" s="26"/>
      <c r="KC100" s="26"/>
      <c r="KD100" s="26"/>
      <c r="KE100" s="26"/>
      <c r="KF100" s="26"/>
      <c r="KG100" s="26"/>
      <c r="KH100" s="26"/>
      <c r="KI100" s="26"/>
      <c r="KJ100" s="26"/>
      <c r="KK100" s="26"/>
      <c r="KL100" s="26"/>
      <c r="KM100" s="26"/>
      <c r="KN100" s="26"/>
      <c r="KO100" s="26"/>
      <c r="KP100" s="26"/>
      <c r="KQ100" s="26"/>
      <c r="KR100" s="26"/>
      <c r="KS100" s="26"/>
      <c r="KT100" s="26"/>
      <c r="KU100" s="26"/>
      <c r="KV100" s="26"/>
      <c r="KW100" s="26"/>
      <c r="KX100" s="26"/>
      <c r="KY100" s="26"/>
      <c r="KZ100" s="26"/>
      <c r="LA100" s="26"/>
      <c r="LB100" s="26"/>
      <c r="LC100" s="26"/>
      <c r="LD100" s="26"/>
      <c r="LE100" s="26"/>
      <c r="LF100" s="23"/>
      <c r="LG100" s="26"/>
      <c r="LH100" s="26"/>
      <c r="LI100" s="26"/>
      <c r="LJ100" s="26"/>
      <c r="LK100" s="26"/>
      <c r="LL100" s="26"/>
      <c r="LM100" s="26"/>
      <c r="LN100" s="26"/>
      <c r="LO100" s="26"/>
      <c r="LP100" s="26"/>
      <c r="LQ100" s="26"/>
      <c r="LR100" s="26"/>
      <c r="LS100" s="26"/>
      <c r="LT100" s="26"/>
      <c r="LU100" s="26"/>
      <c r="LV100" s="26"/>
      <c r="LW100" s="26"/>
      <c r="LX100" s="26"/>
      <c r="LY100" s="26"/>
      <c r="LZ100" s="26"/>
      <c r="MA100" s="26"/>
      <c r="MB100" s="26"/>
      <c r="MC100" s="26"/>
      <c r="MD100" s="26"/>
      <c r="ME100" s="26"/>
      <c r="MF100" s="26"/>
      <c r="MG100" s="26"/>
      <c r="MH100" s="26"/>
      <c r="MI100" s="26"/>
      <c r="MJ100" s="26"/>
      <c r="MK100" s="26"/>
      <c r="ML100" s="26"/>
      <c r="MM100" s="26"/>
      <c r="MN100" s="26"/>
      <c r="MO100" s="26"/>
      <c r="MP100" s="26"/>
      <c r="MQ100" s="26"/>
      <c r="MR100" s="26"/>
      <c r="MS100" s="23"/>
      <c r="MT100" s="26"/>
      <c r="MU100" s="26"/>
      <c r="MV100" s="26"/>
      <c r="MW100" s="26"/>
      <c r="MX100" s="26"/>
      <c r="MY100" s="26"/>
      <c r="MZ100" s="26"/>
      <c r="NA100" s="26"/>
      <c r="NB100" s="26"/>
      <c r="NC100" s="26"/>
      <c r="ND100" s="26"/>
      <c r="NE100" s="26"/>
      <c r="NF100" s="26"/>
      <c r="NG100" s="26"/>
      <c r="NH100" s="26"/>
      <c r="NI100" s="26"/>
      <c r="NJ100" s="26"/>
      <c r="NK100" s="26"/>
      <c r="NL100" s="26"/>
      <c r="NM100" s="26"/>
      <c r="NN100" s="26"/>
      <c r="NO100" s="26"/>
      <c r="NP100" s="26"/>
      <c r="NQ100" s="26"/>
      <c r="NR100" s="26"/>
      <c r="NS100" s="26"/>
      <c r="NT100" s="26"/>
      <c r="NU100" s="26"/>
      <c r="NV100" s="26"/>
      <c r="NW100" s="26"/>
      <c r="NX100" s="26"/>
      <c r="NY100" s="26"/>
      <c r="NZ100" s="26"/>
      <c r="OA100" s="26"/>
      <c r="OB100" s="26"/>
      <c r="OC100" s="26"/>
      <c r="OD100" s="26"/>
      <c r="OE100" s="26"/>
      <c r="OF100" s="23"/>
      <c r="OG100" s="26"/>
      <c r="OH100" s="26"/>
      <c r="OI100" s="26"/>
      <c r="OJ100" s="26"/>
      <c r="OK100" s="26"/>
      <c r="OL100" s="26"/>
      <c r="OM100" s="26"/>
      <c r="ON100" s="26"/>
      <c r="OO100" s="26"/>
      <c r="OP100" s="26"/>
      <c r="OQ100" s="26"/>
      <c r="OR100" s="26"/>
      <c r="OS100" s="26"/>
      <c r="OT100" s="26"/>
      <c r="OU100" s="26"/>
      <c r="OV100" s="26"/>
      <c r="OW100" s="26"/>
      <c r="OX100" s="26"/>
      <c r="OY100" s="26"/>
      <c r="OZ100" s="26"/>
      <c r="PA100" s="26"/>
      <c r="PB100" s="26"/>
      <c r="PC100" s="26"/>
      <c r="PD100" s="26"/>
      <c r="PE100" s="26"/>
      <c r="PF100" s="26"/>
      <c r="PG100" s="26"/>
      <c r="PH100" s="26"/>
      <c r="PI100" s="26"/>
      <c r="PJ100" s="26"/>
      <c r="PK100" s="26"/>
      <c r="PL100" s="26"/>
      <c r="PM100" s="26"/>
      <c r="PN100" s="26"/>
      <c r="PO100" s="26"/>
      <c r="PP100" s="26"/>
      <c r="PQ100" s="26"/>
      <c r="PR100" s="26"/>
    </row>
    <row r="101" spans="1:434" x14ac:dyDescent="0.25">
      <c r="A101" s="24"/>
      <c r="B101" s="25" t="s">
        <v>167</v>
      </c>
      <c r="C101" s="24" t="s">
        <v>70</v>
      </c>
      <c r="D101" s="24" t="s">
        <v>67</v>
      </c>
      <c r="E101" s="24"/>
      <c r="F101" s="23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3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83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23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3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3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3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3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6"/>
      <c r="KR101" s="26"/>
      <c r="KS101" s="26"/>
      <c r="KT101" s="26"/>
      <c r="KU101" s="26"/>
      <c r="KV101" s="26"/>
      <c r="KW101" s="26"/>
      <c r="KX101" s="26"/>
      <c r="KY101" s="26"/>
      <c r="KZ101" s="26"/>
      <c r="LA101" s="26"/>
      <c r="LB101" s="26"/>
      <c r="LC101" s="26"/>
      <c r="LD101" s="26"/>
      <c r="LE101" s="26"/>
      <c r="LF101" s="23"/>
      <c r="LG101" s="26"/>
      <c r="LH101" s="26"/>
      <c r="LI101" s="26"/>
      <c r="LJ101" s="26"/>
      <c r="LK101" s="26"/>
      <c r="LL101" s="26"/>
      <c r="LM101" s="26"/>
      <c r="LN101" s="26"/>
      <c r="LO101" s="26"/>
      <c r="LP101" s="26"/>
      <c r="LQ101" s="26"/>
      <c r="LR101" s="26"/>
      <c r="LS101" s="26"/>
      <c r="LT101" s="26"/>
      <c r="LU101" s="26"/>
      <c r="LV101" s="26"/>
      <c r="LW101" s="26"/>
      <c r="LX101" s="26"/>
      <c r="LY101" s="26"/>
      <c r="LZ101" s="26"/>
      <c r="MA101" s="26"/>
      <c r="MB101" s="26"/>
      <c r="MC101" s="26"/>
      <c r="MD101" s="26"/>
      <c r="ME101" s="26"/>
      <c r="MF101" s="26"/>
      <c r="MG101" s="26"/>
      <c r="MH101" s="26"/>
      <c r="MI101" s="26"/>
      <c r="MJ101" s="26"/>
      <c r="MK101" s="26"/>
      <c r="ML101" s="26"/>
      <c r="MM101" s="26"/>
      <c r="MN101" s="26"/>
      <c r="MO101" s="26"/>
      <c r="MP101" s="26"/>
      <c r="MQ101" s="26"/>
      <c r="MR101" s="26"/>
      <c r="MS101" s="23"/>
      <c r="MT101" s="26"/>
      <c r="MU101" s="26"/>
      <c r="MV101" s="26"/>
      <c r="MW101" s="26"/>
      <c r="MX101" s="26"/>
      <c r="MY101" s="26"/>
      <c r="MZ101" s="26"/>
      <c r="NA101" s="26"/>
      <c r="NB101" s="26"/>
      <c r="NC101" s="26"/>
      <c r="ND101" s="26"/>
      <c r="NE101" s="26"/>
      <c r="NF101" s="26"/>
      <c r="NG101" s="26"/>
      <c r="NH101" s="26"/>
      <c r="NI101" s="26"/>
      <c r="NJ101" s="26"/>
      <c r="NK101" s="26"/>
      <c r="NL101" s="26"/>
      <c r="NM101" s="26"/>
      <c r="NN101" s="26"/>
      <c r="NO101" s="26"/>
      <c r="NP101" s="26"/>
      <c r="NQ101" s="26"/>
      <c r="NR101" s="26"/>
      <c r="NS101" s="26"/>
      <c r="NT101" s="26"/>
      <c r="NU101" s="26"/>
      <c r="NV101" s="26"/>
      <c r="NW101" s="26"/>
      <c r="NX101" s="26"/>
      <c r="NY101" s="26"/>
      <c r="NZ101" s="26"/>
      <c r="OA101" s="26"/>
      <c r="OB101" s="26"/>
      <c r="OC101" s="26"/>
      <c r="OD101" s="26"/>
      <c r="OE101" s="26"/>
      <c r="OF101" s="23"/>
      <c r="OG101" s="26"/>
      <c r="OH101" s="26"/>
      <c r="OI101" s="26"/>
      <c r="OJ101" s="26"/>
      <c r="OK101" s="26"/>
      <c r="OL101" s="26"/>
      <c r="OM101" s="26"/>
      <c r="ON101" s="26"/>
      <c r="OO101" s="26"/>
      <c r="OP101" s="26"/>
      <c r="OQ101" s="26"/>
      <c r="OR101" s="26"/>
      <c r="OS101" s="26"/>
      <c r="OT101" s="26"/>
      <c r="OU101" s="26"/>
      <c r="OV101" s="26"/>
      <c r="OW101" s="26"/>
      <c r="OX101" s="26"/>
      <c r="OY101" s="26"/>
      <c r="OZ101" s="26"/>
      <c r="PA101" s="26"/>
      <c r="PB101" s="26"/>
      <c r="PC101" s="26"/>
      <c r="PD101" s="26"/>
      <c r="PE101" s="26"/>
      <c r="PF101" s="26"/>
      <c r="PG101" s="26"/>
      <c r="PH101" s="26"/>
      <c r="PI101" s="26"/>
      <c r="PJ101" s="26"/>
      <c r="PK101" s="26"/>
      <c r="PL101" s="26"/>
      <c r="PM101" s="26"/>
      <c r="PN101" s="26"/>
      <c r="PO101" s="26"/>
      <c r="PP101" s="26"/>
      <c r="PQ101" s="26"/>
      <c r="PR101" s="26"/>
    </row>
    <row r="102" spans="1:434" x14ac:dyDescent="0.25">
      <c r="A102" s="24"/>
      <c r="B102" s="25" t="s">
        <v>168</v>
      </c>
      <c r="C102" s="24" t="s">
        <v>66</v>
      </c>
      <c r="D102" s="24" t="s">
        <v>67</v>
      </c>
      <c r="E102" s="24"/>
      <c r="F102" s="23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3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83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23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3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3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3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3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6"/>
      <c r="KR102" s="26"/>
      <c r="KS102" s="26"/>
      <c r="KT102" s="26"/>
      <c r="KU102" s="26"/>
      <c r="KV102" s="26"/>
      <c r="KW102" s="26"/>
      <c r="KX102" s="26"/>
      <c r="KY102" s="26"/>
      <c r="KZ102" s="26"/>
      <c r="LA102" s="26"/>
      <c r="LB102" s="26"/>
      <c r="LC102" s="26"/>
      <c r="LD102" s="26"/>
      <c r="LE102" s="26"/>
      <c r="LF102" s="23"/>
      <c r="LG102" s="26"/>
      <c r="LH102" s="26"/>
      <c r="LI102" s="26"/>
      <c r="LJ102" s="26"/>
      <c r="LK102" s="26"/>
      <c r="LL102" s="26"/>
      <c r="LM102" s="26"/>
      <c r="LN102" s="26"/>
      <c r="LO102" s="26"/>
      <c r="LP102" s="26"/>
      <c r="LQ102" s="26"/>
      <c r="LR102" s="26"/>
      <c r="LS102" s="26"/>
      <c r="LT102" s="26"/>
      <c r="LU102" s="26"/>
      <c r="LV102" s="26"/>
      <c r="LW102" s="26"/>
      <c r="LX102" s="26"/>
      <c r="LY102" s="26"/>
      <c r="LZ102" s="26"/>
      <c r="MA102" s="26"/>
      <c r="MB102" s="26"/>
      <c r="MC102" s="26"/>
      <c r="MD102" s="26"/>
      <c r="ME102" s="26"/>
      <c r="MF102" s="26"/>
      <c r="MG102" s="26"/>
      <c r="MH102" s="26"/>
      <c r="MI102" s="26"/>
      <c r="MJ102" s="26"/>
      <c r="MK102" s="26"/>
      <c r="ML102" s="26"/>
      <c r="MM102" s="26"/>
      <c r="MN102" s="26"/>
      <c r="MO102" s="26"/>
      <c r="MP102" s="26"/>
      <c r="MQ102" s="26"/>
      <c r="MR102" s="26"/>
      <c r="MS102" s="23"/>
      <c r="MT102" s="26"/>
      <c r="MU102" s="26"/>
      <c r="MV102" s="26"/>
      <c r="MW102" s="26"/>
      <c r="MX102" s="26"/>
      <c r="MY102" s="26"/>
      <c r="MZ102" s="26"/>
      <c r="NA102" s="26"/>
      <c r="NB102" s="26"/>
      <c r="NC102" s="26"/>
      <c r="ND102" s="26"/>
      <c r="NE102" s="26"/>
      <c r="NF102" s="26"/>
      <c r="NG102" s="26"/>
      <c r="NH102" s="26"/>
      <c r="NI102" s="26"/>
      <c r="NJ102" s="26"/>
      <c r="NK102" s="26"/>
      <c r="NL102" s="26"/>
      <c r="NM102" s="26"/>
      <c r="NN102" s="26"/>
      <c r="NO102" s="26"/>
      <c r="NP102" s="26"/>
      <c r="NQ102" s="26"/>
      <c r="NR102" s="26"/>
      <c r="NS102" s="26"/>
      <c r="NT102" s="26"/>
      <c r="NU102" s="26"/>
      <c r="NV102" s="26"/>
      <c r="NW102" s="26"/>
      <c r="NX102" s="26"/>
      <c r="NY102" s="26"/>
      <c r="NZ102" s="26"/>
      <c r="OA102" s="26"/>
      <c r="OB102" s="26"/>
      <c r="OC102" s="26"/>
      <c r="OD102" s="26"/>
      <c r="OE102" s="26"/>
      <c r="OF102" s="23"/>
      <c r="OG102" s="26"/>
      <c r="OH102" s="26"/>
      <c r="OI102" s="26"/>
      <c r="OJ102" s="26"/>
      <c r="OK102" s="26"/>
      <c r="OL102" s="26"/>
      <c r="OM102" s="26"/>
      <c r="ON102" s="26"/>
      <c r="OO102" s="26"/>
      <c r="OP102" s="26"/>
      <c r="OQ102" s="26"/>
      <c r="OR102" s="26"/>
      <c r="OS102" s="26"/>
      <c r="OT102" s="26"/>
      <c r="OU102" s="26"/>
      <c r="OV102" s="26"/>
      <c r="OW102" s="26"/>
      <c r="OX102" s="26"/>
      <c r="OY102" s="26"/>
      <c r="OZ102" s="26"/>
      <c r="PA102" s="26"/>
      <c r="PB102" s="26"/>
      <c r="PC102" s="26"/>
      <c r="PD102" s="26"/>
      <c r="PE102" s="26"/>
      <c r="PF102" s="26"/>
      <c r="PG102" s="26"/>
      <c r="PH102" s="26"/>
      <c r="PI102" s="26"/>
      <c r="PJ102" s="26"/>
      <c r="PK102" s="26"/>
      <c r="PL102" s="26"/>
      <c r="PM102" s="26"/>
      <c r="PN102" s="26"/>
      <c r="PO102" s="26"/>
      <c r="PP102" s="26"/>
      <c r="PQ102" s="26"/>
      <c r="PR102" s="26"/>
    </row>
    <row r="103" spans="1:434" x14ac:dyDescent="0.25">
      <c r="A103" s="24"/>
      <c r="B103" s="25" t="s">
        <v>169</v>
      </c>
      <c r="C103" s="24" t="s">
        <v>70</v>
      </c>
      <c r="D103" s="24" t="s">
        <v>67</v>
      </c>
      <c r="E103" s="24"/>
      <c r="F103" s="23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3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83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23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3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3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3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3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6"/>
      <c r="KR103" s="26"/>
      <c r="KS103" s="26"/>
      <c r="KT103" s="26"/>
      <c r="KU103" s="26"/>
      <c r="KV103" s="26"/>
      <c r="KW103" s="26"/>
      <c r="KX103" s="26"/>
      <c r="KY103" s="26"/>
      <c r="KZ103" s="26"/>
      <c r="LA103" s="26"/>
      <c r="LB103" s="26"/>
      <c r="LC103" s="26"/>
      <c r="LD103" s="26"/>
      <c r="LE103" s="26"/>
      <c r="LF103" s="23"/>
      <c r="LG103" s="26"/>
      <c r="LH103" s="26"/>
      <c r="LI103" s="26"/>
      <c r="LJ103" s="26"/>
      <c r="LK103" s="26"/>
      <c r="LL103" s="26"/>
      <c r="LM103" s="26"/>
      <c r="LN103" s="26"/>
      <c r="LO103" s="26"/>
      <c r="LP103" s="26"/>
      <c r="LQ103" s="26"/>
      <c r="LR103" s="26"/>
      <c r="LS103" s="26"/>
      <c r="LT103" s="26"/>
      <c r="LU103" s="26"/>
      <c r="LV103" s="26"/>
      <c r="LW103" s="26"/>
      <c r="LX103" s="26"/>
      <c r="LY103" s="26"/>
      <c r="LZ103" s="26"/>
      <c r="MA103" s="26"/>
      <c r="MB103" s="26"/>
      <c r="MC103" s="26"/>
      <c r="MD103" s="26"/>
      <c r="ME103" s="26"/>
      <c r="MF103" s="26"/>
      <c r="MG103" s="26"/>
      <c r="MH103" s="26"/>
      <c r="MI103" s="26"/>
      <c r="MJ103" s="26"/>
      <c r="MK103" s="26"/>
      <c r="ML103" s="26"/>
      <c r="MM103" s="26"/>
      <c r="MN103" s="26"/>
      <c r="MO103" s="26"/>
      <c r="MP103" s="26"/>
      <c r="MQ103" s="26"/>
      <c r="MR103" s="26"/>
      <c r="MS103" s="23"/>
      <c r="MT103" s="26"/>
      <c r="MU103" s="26"/>
      <c r="MV103" s="26"/>
      <c r="MW103" s="26"/>
      <c r="MX103" s="26"/>
      <c r="MY103" s="26"/>
      <c r="MZ103" s="26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6"/>
      <c r="OC103" s="26"/>
      <c r="OD103" s="26"/>
      <c r="OE103" s="26"/>
      <c r="OF103" s="23"/>
      <c r="OG103" s="26"/>
      <c r="OH103" s="26"/>
      <c r="OI103" s="26"/>
      <c r="OJ103" s="26"/>
      <c r="OK103" s="26"/>
      <c r="OL103" s="26"/>
      <c r="OM103" s="26"/>
      <c r="ON103" s="26"/>
      <c r="OO103" s="26"/>
      <c r="OP103" s="26"/>
      <c r="OQ103" s="26"/>
      <c r="OR103" s="26"/>
      <c r="OS103" s="26"/>
      <c r="OT103" s="26"/>
      <c r="OU103" s="26"/>
      <c r="OV103" s="26"/>
      <c r="OW103" s="26"/>
      <c r="OX103" s="26"/>
      <c r="OY103" s="26"/>
      <c r="OZ103" s="26"/>
      <c r="PA103" s="26"/>
      <c r="PB103" s="26"/>
      <c r="PC103" s="26"/>
      <c r="PD103" s="26"/>
      <c r="PE103" s="26"/>
      <c r="PF103" s="26"/>
      <c r="PG103" s="26"/>
      <c r="PH103" s="26"/>
      <c r="PI103" s="26"/>
      <c r="PJ103" s="26"/>
      <c r="PK103" s="26"/>
      <c r="PL103" s="26"/>
      <c r="PM103" s="26"/>
      <c r="PN103" s="26"/>
      <c r="PO103" s="26"/>
      <c r="PP103" s="26"/>
      <c r="PQ103" s="26"/>
      <c r="PR103" s="26"/>
    </row>
    <row r="104" spans="1:434" ht="25.5" x14ac:dyDescent="0.25">
      <c r="A104" s="24"/>
      <c r="B104" s="25" t="s">
        <v>170</v>
      </c>
      <c r="C104" s="24" t="s">
        <v>81</v>
      </c>
      <c r="D104" s="24" t="s">
        <v>73</v>
      </c>
      <c r="E104" s="24"/>
      <c r="F104" s="23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3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83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23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3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3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3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3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6"/>
      <c r="KR104" s="26"/>
      <c r="KS104" s="26"/>
      <c r="KT104" s="26"/>
      <c r="KU104" s="26"/>
      <c r="KV104" s="26"/>
      <c r="KW104" s="26"/>
      <c r="KX104" s="26"/>
      <c r="KY104" s="26"/>
      <c r="KZ104" s="26"/>
      <c r="LA104" s="26"/>
      <c r="LB104" s="26"/>
      <c r="LC104" s="26"/>
      <c r="LD104" s="26"/>
      <c r="LE104" s="26"/>
      <c r="LF104" s="23"/>
      <c r="LG104" s="26"/>
      <c r="LH104" s="26"/>
      <c r="LI104" s="26"/>
      <c r="LJ104" s="26"/>
      <c r="LK104" s="26"/>
      <c r="LL104" s="26"/>
      <c r="LM104" s="26"/>
      <c r="LN104" s="26"/>
      <c r="LO104" s="26"/>
      <c r="LP104" s="26"/>
      <c r="LQ104" s="26"/>
      <c r="LR104" s="26"/>
      <c r="LS104" s="26"/>
      <c r="LT104" s="26"/>
      <c r="LU104" s="26"/>
      <c r="LV104" s="26"/>
      <c r="LW104" s="26"/>
      <c r="LX104" s="26"/>
      <c r="LY104" s="26"/>
      <c r="LZ104" s="26"/>
      <c r="MA104" s="26"/>
      <c r="MB104" s="26"/>
      <c r="MC104" s="26"/>
      <c r="MD104" s="26"/>
      <c r="ME104" s="26"/>
      <c r="MF104" s="26"/>
      <c r="MG104" s="26"/>
      <c r="MH104" s="26"/>
      <c r="MI104" s="26"/>
      <c r="MJ104" s="26"/>
      <c r="MK104" s="26"/>
      <c r="ML104" s="26"/>
      <c r="MM104" s="26"/>
      <c r="MN104" s="26"/>
      <c r="MO104" s="26"/>
      <c r="MP104" s="26"/>
      <c r="MQ104" s="26"/>
      <c r="MR104" s="26"/>
      <c r="MS104" s="23"/>
      <c r="MT104" s="26"/>
      <c r="MU104" s="26"/>
      <c r="MV104" s="26"/>
      <c r="MW104" s="26"/>
      <c r="MX104" s="26"/>
      <c r="MY104" s="26"/>
      <c r="MZ104" s="26"/>
      <c r="NA104" s="26"/>
      <c r="NB104" s="26"/>
      <c r="NC104" s="26"/>
      <c r="ND104" s="26"/>
      <c r="NE104" s="26"/>
      <c r="NF104" s="26"/>
      <c r="NG104" s="26"/>
      <c r="NH104" s="26"/>
      <c r="NI104" s="26"/>
      <c r="NJ104" s="26"/>
      <c r="NK104" s="26"/>
      <c r="NL104" s="26"/>
      <c r="NM104" s="26"/>
      <c r="NN104" s="26"/>
      <c r="NO104" s="26"/>
      <c r="NP104" s="26"/>
      <c r="NQ104" s="26"/>
      <c r="NR104" s="26"/>
      <c r="NS104" s="26"/>
      <c r="NT104" s="26"/>
      <c r="NU104" s="26"/>
      <c r="NV104" s="26"/>
      <c r="NW104" s="26"/>
      <c r="NX104" s="26"/>
      <c r="NY104" s="26"/>
      <c r="NZ104" s="26"/>
      <c r="OA104" s="26"/>
      <c r="OB104" s="26"/>
      <c r="OC104" s="26"/>
      <c r="OD104" s="26"/>
      <c r="OE104" s="26"/>
      <c r="OF104" s="23"/>
      <c r="OG104" s="26"/>
      <c r="OH104" s="26"/>
      <c r="OI104" s="26"/>
      <c r="OJ104" s="26"/>
      <c r="OK104" s="26"/>
      <c r="OL104" s="26"/>
      <c r="OM104" s="26"/>
      <c r="ON104" s="26"/>
      <c r="OO104" s="26"/>
      <c r="OP104" s="26"/>
      <c r="OQ104" s="26"/>
      <c r="OR104" s="26"/>
      <c r="OS104" s="26"/>
      <c r="OT104" s="26"/>
      <c r="OU104" s="26"/>
      <c r="OV104" s="26"/>
      <c r="OW104" s="26"/>
      <c r="OX104" s="26"/>
      <c r="OY104" s="26"/>
      <c r="OZ104" s="26"/>
      <c r="PA104" s="26"/>
      <c r="PB104" s="26"/>
      <c r="PC104" s="26"/>
      <c r="PD104" s="26"/>
      <c r="PE104" s="26"/>
      <c r="PF104" s="26"/>
      <c r="PG104" s="26"/>
      <c r="PH104" s="26"/>
      <c r="PI104" s="26"/>
      <c r="PJ104" s="26"/>
      <c r="PK104" s="26"/>
      <c r="PL104" s="26"/>
      <c r="PM104" s="26"/>
      <c r="PN104" s="26"/>
      <c r="PO104" s="26"/>
      <c r="PP104" s="26"/>
      <c r="PQ104" s="26"/>
      <c r="PR104" s="26"/>
    </row>
    <row r="105" spans="1:434" x14ac:dyDescent="0.25">
      <c r="A105" s="24"/>
      <c r="B105" s="25" t="s">
        <v>171</v>
      </c>
      <c r="C105" s="24" t="s">
        <v>81</v>
      </c>
      <c r="D105" s="24" t="s">
        <v>67</v>
      </c>
      <c r="E105" s="24"/>
      <c r="F105" s="23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3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83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23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3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3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3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3"/>
      <c r="JT105" s="26"/>
      <c r="JU105" s="26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  <c r="KO105" s="26"/>
      <c r="KP105" s="26"/>
      <c r="KQ105" s="26"/>
      <c r="KR105" s="26"/>
      <c r="KS105" s="26"/>
      <c r="KT105" s="26"/>
      <c r="KU105" s="26"/>
      <c r="KV105" s="26"/>
      <c r="KW105" s="26"/>
      <c r="KX105" s="26"/>
      <c r="KY105" s="26"/>
      <c r="KZ105" s="26"/>
      <c r="LA105" s="26"/>
      <c r="LB105" s="26"/>
      <c r="LC105" s="26"/>
      <c r="LD105" s="26"/>
      <c r="LE105" s="26"/>
      <c r="LF105" s="23"/>
      <c r="LG105" s="26"/>
      <c r="LH105" s="26"/>
      <c r="LI105" s="26"/>
      <c r="LJ105" s="26"/>
      <c r="LK105" s="26"/>
      <c r="LL105" s="26"/>
      <c r="LM105" s="26"/>
      <c r="LN105" s="26"/>
      <c r="LO105" s="26"/>
      <c r="LP105" s="26"/>
      <c r="LQ105" s="26"/>
      <c r="LR105" s="26"/>
      <c r="LS105" s="26"/>
      <c r="LT105" s="26"/>
      <c r="LU105" s="26"/>
      <c r="LV105" s="26"/>
      <c r="LW105" s="26"/>
      <c r="LX105" s="26"/>
      <c r="LY105" s="26"/>
      <c r="LZ105" s="26"/>
      <c r="MA105" s="26"/>
      <c r="MB105" s="26"/>
      <c r="MC105" s="26"/>
      <c r="MD105" s="26"/>
      <c r="ME105" s="26"/>
      <c r="MF105" s="26"/>
      <c r="MG105" s="26"/>
      <c r="MH105" s="26"/>
      <c r="MI105" s="26"/>
      <c r="MJ105" s="26"/>
      <c r="MK105" s="26"/>
      <c r="ML105" s="26"/>
      <c r="MM105" s="26"/>
      <c r="MN105" s="26"/>
      <c r="MO105" s="26"/>
      <c r="MP105" s="26"/>
      <c r="MQ105" s="26"/>
      <c r="MR105" s="26"/>
      <c r="MS105" s="23"/>
      <c r="MT105" s="26"/>
      <c r="MU105" s="26"/>
      <c r="MV105" s="26"/>
      <c r="MW105" s="26"/>
      <c r="MX105" s="26"/>
      <c r="MY105" s="26"/>
      <c r="MZ105" s="26"/>
      <c r="NA105" s="26"/>
      <c r="NB105" s="26"/>
      <c r="NC105" s="26"/>
      <c r="ND105" s="26"/>
      <c r="NE105" s="26"/>
      <c r="NF105" s="26"/>
      <c r="NG105" s="26"/>
      <c r="NH105" s="26"/>
      <c r="NI105" s="26"/>
      <c r="NJ105" s="26"/>
      <c r="NK105" s="26"/>
      <c r="NL105" s="26"/>
      <c r="NM105" s="26"/>
      <c r="NN105" s="26"/>
      <c r="NO105" s="26"/>
      <c r="NP105" s="26"/>
      <c r="NQ105" s="26"/>
      <c r="NR105" s="26"/>
      <c r="NS105" s="26"/>
      <c r="NT105" s="26"/>
      <c r="NU105" s="26"/>
      <c r="NV105" s="26"/>
      <c r="NW105" s="26"/>
      <c r="NX105" s="26"/>
      <c r="NY105" s="26"/>
      <c r="NZ105" s="26"/>
      <c r="OA105" s="26"/>
      <c r="OB105" s="26"/>
      <c r="OC105" s="26"/>
      <c r="OD105" s="26"/>
      <c r="OE105" s="26"/>
      <c r="OF105" s="23"/>
      <c r="OG105" s="26"/>
      <c r="OH105" s="26"/>
      <c r="OI105" s="26"/>
      <c r="OJ105" s="26"/>
      <c r="OK105" s="26"/>
      <c r="OL105" s="26"/>
      <c r="OM105" s="26"/>
      <c r="ON105" s="26"/>
      <c r="OO105" s="26"/>
      <c r="OP105" s="26"/>
      <c r="OQ105" s="26"/>
      <c r="OR105" s="26"/>
      <c r="OS105" s="26"/>
      <c r="OT105" s="26"/>
      <c r="OU105" s="26"/>
      <c r="OV105" s="26"/>
      <c r="OW105" s="26"/>
      <c r="OX105" s="26"/>
      <c r="OY105" s="26"/>
      <c r="OZ105" s="26"/>
      <c r="PA105" s="26"/>
      <c r="PB105" s="26"/>
      <c r="PC105" s="26"/>
      <c r="PD105" s="26"/>
      <c r="PE105" s="26"/>
      <c r="PF105" s="26"/>
      <c r="PG105" s="26"/>
      <c r="PH105" s="26"/>
      <c r="PI105" s="26"/>
      <c r="PJ105" s="26"/>
      <c r="PK105" s="26"/>
      <c r="PL105" s="26"/>
      <c r="PM105" s="26"/>
      <c r="PN105" s="26"/>
      <c r="PO105" s="26"/>
      <c r="PP105" s="26"/>
      <c r="PQ105" s="26"/>
      <c r="PR105" s="26"/>
    </row>
    <row r="106" spans="1:434" x14ac:dyDescent="0.25">
      <c r="A106" s="24"/>
      <c r="B106" s="25" t="s">
        <v>172</v>
      </c>
      <c r="C106" s="24" t="s">
        <v>70</v>
      </c>
      <c r="D106" s="24" t="s">
        <v>76</v>
      </c>
      <c r="E106" s="24"/>
      <c r="F106" s="23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3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83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23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3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3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3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3"/>
      <c r="JT106" s="26"/>
      <c r="JU106" s="26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  <c r="KO106" s="26"/>
      <c r="KP106" s="26"/>
      <c r="KQ106" s="26"/>
      <c r="KR106" s="26"/>
      <c r="KS106" s="26"/>
      <c r="KT106" s="26"/>
      <c r="KU106" s="26"/>
      <c r="KV106" s="26"/>
      <c r="KW106" s="26"/>
      <c r="KX106" s="26"/>
      <c r="KY106" s="26"/>
      <c r="KZ106" s="26"/>
      <c r="LA106" s="26"/>
      <c r="LB106" s="26"/>
      <c r="LC106" s="26"/>
      <c r="LD106" s="26"/>
      <c r="LE106" s="26"/>
      <c r="LF106" s="23"/>
      <c r="LG106" s="26"/>
      <c r="LH106" s="26"/>
      <c r="LI106" s="26"/>
      <c r="LJ106" s="26"/>
      <c r="LK106" s="26"/>
      <c r="LL106" s="26"/>
      <c r="LM106" s="26"/>
      <c r="LN106" s="26"/>
      <c r="LO106" s="26"/>
      <c r="LP106" s="26"/>
      <c r="LQ106" s="26"/>
      <c r="LR106" s="26"/>
      <c r="LS106" s="26"/>
      <c r="LT106" s="26"/>
      <c r="LU106" s="26"/>
      <c r="LV106" s="26"/>
      <c r="LW106" s="26"/>
      <c r="LX106" s="26"/>
      <c r="LY106" s="26"/>
      <c r="LZ106" s="26"/>
      <c r="MA106" s="26"/>
      <c r="MB106" s="26"/>
      <c r="MC106" s="26"/>
      <c r="MD106" s="26"/>
      <c r="ME106" s="26"/>
      <c r="MF106" s="26"/>
      <c r="MG106" s="26"/>
      <c r="MH106" s="26"/>
      <c r="MI106" s="26"/>
      <c r="MJ106" s="26"/>
      <c r="MK106" s="26"/>
      <c r="ML106" s="26"/>
      <c r="MM106" s="26"/>
      <c r="MN106" s="26"/>
      <c r="MO106" s="26"/>
      <c r="MP106" s="26"/>
      <c r="MQ106" s="26"/>
      <c r="MR106" s="26"/>
      <c r="MS106" s="23"/>
      <c r="MT106" s="26"/>
      <c r="MU106" s="26"/>
      <c r="MV106" s="26"/>
      <c r="MW106" s="26"/>
      <c r="MX106" s="26"/>
      <c r="MY106" s="26"/>
      <c r="MZ106" s="26"/>
      <c r="NA106" s="26"/>
      <c r="NB106" s="26"/>
      <c r="NC106" s="26"/>
      <c r="ND106" s="26"/>
      <c r="NE106" s="26"/>
      <c r="NF106" s="26"/>
      <c r="NG106" s="26"/>
      <c r="NH106" s="26"/>
      <c r="NI106" s="26"/>
      <c r="NJ106" s="26"/>
      <c r="NK106" s="26"/>
      <c r="NL106" s="26"/>
      <c r="NM106" s="26"/>
      <c r="NN106" s="26"/>
      <c r="NO106" s="26"/>
      <c r="NP106" s="26"/>
      <c r="NQ106" s="26"/>
      <c r="NR106" s="26"/>
      <c r="NS106" s="26"/>
      <c r="NT106" s="26"/>
      <c r="NU106" s="26"/>
      <c r="NV106" s="26"/>
      <c r="NW106" s="26"/>
      <c r="NX106" s="26"/>
      <c r="NY106" s="26"/>
      <c r="NZ106" s="26"/>
      <c r="OA106" s="26"/>
      <c r="OB106" s="26"/>
      <c r="OC106" s="26"/>
      <c r="OD106" s="26"/>
      <c r="OE106" s="26"/>
      <c r="OF106" s="23"/>
      <c r="OG106" s="26"/>
      <c r="OH106" s="26"/>
      <c r="OI106" s="26"/>
      <c r="OJ106" s="26"/>
      <c r="OK106" s="26"/>
      <c r="OL106" s="26"/>
      <c r="OM106" s="26"/>
      <c r="ON106" s="26"/>
      <c r="OO106" s="26"/>
      <c r="OP106" s="26"/>
      <c r="OQ106" s="26"/>
      <c r="OR106" s="26"/>
      <c r="OS106" s="26"/>
      <c r="OT106" s="26"/>
      <c r="OU106" s="26"/>
      <c r="OV106" s="26"/>
      <c r="OW106" s="26"/>
      <c r="OX106" s="26"/>
      <c r="OY106" s="26"/>
      <c r="OZ106" s="26"/>
      <c r="PA106" s="26"/>
      <c r="PB106" s="26"/>
      <c r="PC106" s="26"/>
      <c r="PD106" s="26"/>
      <c r="PE106" s="26"/>
      <c r="PF106" s="26"/>
      <c r="PG106" s="26"/>
      <c r="PH106" s="26"/>
      <c r="PI106" s="26"/>
      <c r="PJ106" s="26"/>
      <c r="PK106" s="26"/>
      <c r="PL106" s="26"/>
      <c r="PM106" s="26"/>
      <c r="PN106" s="26"/>
      <c r="PO106" s="26"/>
      <c r="PP106" s="26"/>
      <c r="PQ106" s="26"/>
      <c r="PR106" s="26"/>
    </row>
    <row r="107" spans="1:434" x14ac:dyDescent="0.25">
      <c r="A107" s="24"/>
      <c r="B107" s="25" t="s">
        <v>173</v>
      </c>
      <c r="C107" s="24" t="s">
        <v>70</v>
      </c>
      <c r="D107" s="24" t="s">
        <v>76</v>
      </c>
      <c r="E107" s="24"/>
      <c r="F107" s="23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3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83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23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3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3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3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6"/>
      <c r="JO107" s="26"/>
      <c r="JP107" s="26"/>
      <c r="JQ107" s="26"/>
      <c r="JR107" s="26"/>
      <c r="JS107" s="23"/>
      <c r="JT107" s="26"/>
      <c r="JU107" s="26"/>
      <c r="JV107" s="26"/>
      <c r="JW107" s="26"/>
      <c r="JX107" s="26"/>
      <c r="JY107" s="26"/>
      <c r="JZ107" s="26"/>
      <c r="KA107" s="26"/>
      <c r="KB107" s="26"/>
      <c r="KC107" s="26"/>
      <c r="KD107" s="26"/>
      <c r="KE107" s="26"/>
      <c r="KF107" s="26"/>
      <c r="KG107" s="26"/>
      <c r="KH107" s="26"/>
      <c r="KI107" s="26"/>
      <c r="KJ107" s="26"/>
      <c r="KK107" s="26"/>
      <c r="KL107" s="26"/>
      <c r="KM107" s="26"/>
      <c r="KN107" s="26"/>
      <c r="KO107" s="26"/>
      <c r="KP107" s="26"/>
      <c r="KQ107" s="26"/>
      <c r="KR107" s="26"/>
      <c r="KS107" s="26"/>
      <c r="KT107" s="26"/>
      <c r="KU107" s="26"/>
      <c r="KV107" s="26"/>
      <c r="KW107" s="26"/>
      <c r="KX107" s="26"/>
      <c r="KY107" s="26"/>
      <c r="KZ107" s="26"/>
      <c r="LA107" s="26"/>
      <c r="LB107" s="26"/>
      <c r="LC107" s="26"/>
      <c r="LD107" s="26"/>
      <c r="LE107" s="26"/>
      <c r="LF107" s="23"/>
      <c r="LG107" s="26"/>
      <c r="LH107" s="26"/>
      <c r="LI107" s="26"/>
      <c r="LJ107" s="26"/>
      <c r="LK107" s="26"/>
      <c r="LL107" s="26"/>
      <c r="LM107" s="26"/>
      <c r="LN107" s="26"/>
      <c r="LO107" s="26"/>
      <c r="LP107" s="26"/>
      <c r="LQ107" s="26"/>
      <c r="LR107" s="26"/>
      <c r="LS107" s="26"/>
      <c r="LT107" s="26"/>
      <c r="LU107" s="26"/>
      <c r="LV107" s="26"/>
      <c r="LW107" s="26"/>
      <c r="LX107" s="26"/>
      <c r="LY107" s="26"/>
      <c r="LZ107" s="26"/>
      <c r="MA107" s="26"/>
      <c r="MB107" s="26"/>
      <c r="MC107" s="26"/>
      <c r="MD107" s="26"/>
      <c r="ME107" s="26"/>
      <c r="MF107" s="26"/>
      <c r="MG107" s="26"/>
      <c r="MH107" s="26"/>
      <c r="MI107" s="26"/>
      <c r="MJ107" s="26"/>
      <c r="MK107" s="26"/>
      <c r="ML107" s="26"/>
      <c r="MM107" s="26"/>
      <c r="MN107" s="26"/>
      <c r="MO107" s="26"/>
      <c r="MP107" s="26"/>
      <c r="MQ107" s="26"/>
      <c r="MR107" s="26"/>
      <c r="MS107" s="23"/>
      <c r="MT107" s="26"/>
      <c r="MU107" s="26"/>
      <c r="MV107" s="26"/>
      <c r="MW107" s="26"/>
      <c r="MX107" s="26"/>
      <c r="MY107" s="26"/>
      <c r="MZ107" s="26"/>
      <c r="NA107" s="26"/>
      <c r="NB107" s="26"/>
      <c r="NC107" s="26"/>
      <c r="ND107" s="26"/>
      <c r="NE107" s="26"/>
      <c r="NF107" s="26"/>
      <c r="NG107" s="26"/>
      <c r="NH107" s="26"/>
      <c r="NI107" s="26"/>
      <c r="NJ107" s="26"/>
      <c r="NK107" s="26"/>
      <c r="NL107" s="26"/>
      <c r="NM107" s="26"/>
      <c r="NN107" s="26"/>
      <c r="NO107" s="26"/>
      <c r="NP107" s="26"/>
      <c r="NQ107" s="26"/>
      <c r="NR107" s="26"/>
      <c r="NS107" s="26"/>
      <c r="NT107" s="26"/>
      <c r="NU107" s="26"/>
      <c r="NV107" s="26"/>
      <c r="NW107" s="26"/>
      <c r="NX107" s="26"/>
      <c r="NY107" s="26"/>
      <c r="NZ107" s="26"/>
      <c r="OA107" s="26"/>
      <c r="OB107" s="26"/>
      <c r="OC107" s="26"/>
      <c r="OD107" s="26"/>
      <c r="OE107" s="26"/>
      <c r="OF107" s="23"/>
      <c r="OG107" s="26"/>
      <c r="OH107" s="26"/>
      <c r="OI107" s="26"/>
      <c r="OJ107" s="26"/>
      <c r="OK107" s="26"/>
      <c r="OL107" s="26"/>
      <c r="OM107" s="26"/>
      <c r="ON107" s="26"/>
      <c r="OO107" s="26"/>
      <c r="OP107" s="26"/>
      <c r="OQ107" s="26"/>
      <c r="OR107" s="26"/>
      <c r="OS107" s="26"/>
      <c r="OT107" s="26"/>
      <c r="OU107" s="26"/>
      <c r="OV107" s="26"/>
      <c r="OW107" s="26"/>
      <c r="OX107" s="26"/>
      <c r="OY107" s="26"/>
      <c r="OZ107" s="26"/>
      <c r="PA107" s="26"/>
      <c r="PB107" s="26"/>
      <c r="PC107" s="26"/>
      <c r="PD107" s="26"/>
      <c r="PE107" s="26"/>
      <c r="PF107" s="26"/>
      <c r="PG107" s="26"/>
      <c r="PH107" s="26"/>
      <c r="PI107" s="26"/>
      <c r="PJ107" s="26"/>
      <c r="PK107" s="26"/>
      <c r="PL107" s="26"/>
      <c r="PM107" s="26"/>
      <c r="PN107" s="26"/>
      <c r="PO107" s="26"/>
      <c r="PP107" s="26"/>
      <c r="PQ107" s="26"/>
      <c r="PR107" s="26"/>
    </row>
    <row r="108" spans="1:434" ht="21.95" customHeight="1" x14ac:dyDescent="0.25">
      <c r="A108" s="87" t="s">
        <v>174</v>
      </c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  <c r="FU108" s="88"/>
      <c r="FV108" s="88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8"/>
      <c r="GI108" s="88"/>
      <c r="GJ108" s="88"/>
      <c r="GK108" s="88"/>
      <c r="GL108" s="88"/>
      <c r="GM108" s="88"/>
      <c r="GN108" s="88"/>
      <c r="GO108" s="88"/>
      <c r="GP108" s="88"/>
      <c r="GQ108" s="88"/>
      <c r="GR108" s="88"/>
      <c r="GS108" s="88"/>
      <c r="GT108" s="88"/>
      <c r="GU108" s="88"/>
      <c r="GV108" s="88"/>
      <c r="GW108" s="88"/>
      <c r="GX108" s="88"/>
      <c r="GY108" s="88"/>
      <c r="GZ108" s="88"/>
      <c r="HA108" s="88"/>
      <c r="HB108" s="88"/>
      <c r="HC108" s="88"/>
      <c r="HD108" s="88"/>
      <c r="HE108" s="88"/>
      <c r="HF108" s="88"/>
      <c r="HG108" s="88"/>
      <c r="HH108" s="88"/>
      <c r="HI108" s="88"/>
      <c r="HJ108" s="88"/>
      <c r="HK108" s="88"/>
      <c r="HL108" s="88"/>
      <c r="HM108" s="88"/>
      <c r="HN108" s="88"/>
      <c r="HO108" s="88"/>
      <c r="HP108" s="88"/>
      <c r="HQ108" s="88"/>
      <c r="HR108" s="88"/>
      <c r="HS108" s="88"/>
      <c r="HT108" s="88"/>
      <c r="HU108" s="88"/>
      <c r="HV108" s="88"/>
      <c r="HW108" s="8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88"/>
      <c r="IJ108" s="88"/>
      <c r="IK108" s="88"/>
      <c r="IL108" s="88"/>
      <c r="IM108" s="88"/>
      <c r="IN108" s="88"/>
      <c r="IO108" s="88"/>
      <c r="IP108" s="88"/>
      <c r="IQ108" s="88"/>
      <c r="IR108" s="88"/>
      <c r="IS108" s="88"/>
      <c r="IT108" s="88"/>
      <c r="IU108" s="88"/>
      <c r="IV108" s="88"/>
      <c r="IW108" s="88"/>
      <c r="IX108" s="88"/>
      <c r="IY108" s="88"/>
      <c r="IZ108" s="88"/>
      <c r="JA108" s="88"/>
      <c r="JB108" s="88"/>
      <c r="JC108" s="88"/>
      <c r="JD108" s="88"/>
      <c r="JE108" s="88"/>
      <c r="JF108" s="88"/>
      <c r="JG108" s="88"/>
      <c r="JH108" s="88"/>
      <c r="JI108" s="88"/>
      <c r="JJ108" s="88"/>
      <c r="JK108" s="88"/>
      <c r="JL108" s="88"/>
      <c r="JM108" s="88"/>
      <c r="JN108" s="88"/>
      <c r="JO108" s="88"/>
      <c r="JP108" s="88"/>
      <c r="JQ108" s="88"/>
      <c r="JR108" s="88"/>
      <c r="JS108" s="88"/>
      <c r="JT108" s="88"/>
      <c r="JU108" s="88"/>
      <c r="JV108" s="88"/>
      <c r="JW108" s="88"/>
      <c r="JX108" s="88"/>
      <c r="JY108" s="88"/>
      <c r="JZ108" s="88"/>
      <c r="KA108" s="88"/>
      <c r="KB108" s="88"/>
      <c r="KC108" s="88"/>
      <c r="KD108" s="88"/>
      <c r="KE108" s="88"/>
      <c r="KF108" s="88"/>
      <c r="KG108" s="88"/>
      <c r="KH108" s="88"/>
      <c r="KI108" s="88"/>
      <c r="KJ108" s="88"/>
      <c r="KK108" s="88"/>
      <c r="KL108" s="88"/>
      <c r="KM108" s="88"/>
      <c r="KN108" s="88"/>
      <c r="KO108" s="88"/>
      <c r="KP108" s="88"/>
      <c r="KQ108" s="88"/>
      <c r="KR108" s="88"/>
      <c r="KS108" s="88"/>
      <c r="KT108" s="88"/>
      <c r="KU108" s="88"/>
      <c r="KV108" s="88"/>
      <c r="KW108" s="88"/>
      <c r="KX108" s="88"/>
      <c r="KY108" s="88"/>
      <c r="KZ108" s="88"/>
      <c r="LA108" s="88"/>
      <c r="LB108" s="88"/>
      <c r="LC108" s="88"/>
      <c r="LD108" s="88"/>
      <c r="LE108" s="88"/>
      <c r="LF108" s="88"/>
      <c r="LG108" s="88"/>
      <c r="LH108" s="88"/>
      <c r="LI108" s="88"/>
      <c r="LJ108" s="88"/>
      <c r="LK108" s="88"/>
      <c r="LL108" s="88"/>
      <c r="LM108" s="88"/>
      <c r="LN108" s="88"/>
      <c r="LO108" s="88"/>
      <c r="LP108" s="88"/>
      <c r="LQ108" s="88"/>
      <c r="LR108" s="88"/>
      <c r="LS108" s="88"/>
      <c r="LT108" s="88"/>
      <c r="LU108" s="88"/>
      <c r="LV108" s="88"/>
      <c r="LW108" s="88"/>
      <c r="LX108" s="88"/>
      <c r="LY108" s="88"/>
      <c r="LZ108" s="88"/>
      <c r="MA108" s="88"/>
      <c r="MB108" s="88"/>
      <c r="MC108" s="88"/>
      <c r="MD108" s="88"/>
      <c r="ME108" s="88"/>
      <c r="MF108" s="88"/>
      <c r="MG108" s="88"/>
      <c r="MH108" s="88"/>
      <c r="MI108" s="88"/>
      <c r="MJ108" s="88"/>
      <c r="MK108" s="88"/>
      <c r="ML108" s="88"/>
      <c r="MM108" s="88"/>
      <c r="MN108" s="88"/>
      <c r="MO108" s="88"/>
      <c r="MP108" s="88"/>
      <c r="MQ108" s="88"/>
      <c r="MR108" s="88"/>
      <c r="MS108" s="88"/>
      <c r="MT108" s="88"/>
      <c r="MU108" s="88"/>
      <c r="MV108" s="88"/>
      <c r="MW108" s="88"/>
      <c r="MX108" s="88"/>
      <c r="MY108" s="88"/>
      <c r="MZ108" s="88"/>
      <c r="NA108" s="88"/>
      <c r="NB108" s="88"/>
      <c r="NC108" s="88"/>
      <c r="ND108" s="88"/>
      <c r="NE108" s="88"/>
      <c r="NF108" s="88"/>
      <c r="NG108" s="88"/>
      <c r="NH108" s="88"/>
      <c r="NI108" s="88"/>
      <c r="NJ108" s="88"/>
      <c r="NK108" s="88"/>
      <c r="NL108" s="88"/>
      <c r="NM108" s="88"/>
      <c r="NN108" s="88"/>
      <c r="NO108" s="88"/>
      <c r="NP108" s="88"/>
      <c r="NQ108" s="88"/>
      <c r="NR108" s="88"/>
      <c r="NS108" s="88"/>
      <c r="NT108" s="88"/>
      <c r="NU108" s="88"/>
      <c r="NV108" s="88"/>
      <c r="NW108" s="88"/>
      <c r="NX108" s="88"/>
      <c r="NY108" s="88"/>
      <c r="NZ108" s="88"/>
      <c r="OA108" s="88"/>
      <c r="OB108" s="88"/>
      <c r="OC108" s="88"/>
      <c r="OD108" s="88"/>
      <c r="OE108" s="88"/>
      <c r="OF108" s="88"/>
      <c r="OG108" s="88"/>
      <c r="OH108" s="88"/>
      <c r="OI108" s="88"/>
      <c r="OJ108" s="88"/>
      <c r="OK108" s="88"/>
      <c r="OL108" s="88"/>
      <c r="OM108" s="88"/>
      <c r="ON108" s="88"/>
      <c r="OO108" s="88"/>
      <c r="OP108" s="88"/>
      <c r="OQ108" s="88"/>
      <c r="OR108" s="88"/>
      <c r="OS108" s="88"/>
      <c r="OT108" s="88"/>
      <c r="OU108" s="88"/>
      <c r="OV108" s="88"/>
      <c r="OW108" s="88"/>
      <c r="OX108" s="88"/>
      <c r="OY108" s="88"/>
      <c r="OZ108" s="88"/>
      <c r="PA108" s="88"/>
      <c r="PB108" s="88"/>
      <c r="PC108" s="88"/>
      <c r="PD108" s="88"/>
      <c r="PE108" s="88"/>
      <c r="PF108" s="88"/>
      <c r="PG108" s="88"/>
      <c r="PH108" s="88"/>
      <c r="PI108" s="88"/>
      <c r="PJ108" s="88"/>
      <c r="PK108" s="88"/>
      <c r="PL108" s="88"/>
      <c r="PM108" s="88"/>
      <c r="PN108" s="88"/>
      <c r="PO108" s="88"/>
      <c r="PP108" s="88"/>
      <c r="PQ108" s="88"/>
      <c r="PR108" s="89"/>
    </row>
    <row r="109" spans="1:434" x14ac:dyDescent="0.25">
      <c r="A109" s="24"/>
      <c r="B109" s="25" t="s">
        <v>175</v>
      </c>
      <c r="C109" s="24" t="s">
        <v>70</v>
      </c>
      <c r="D109" s="24" t="s">
        <v>76</v>
      </c>
      <c r="E109" s="24"/>
      <c r="F109" s="23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3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3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23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3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3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3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6"/>
      <c r="JO109" s="26"/>
      <c r="JP109" s="26"/>
      <c r="JQ109" s="26"/>
      <c r="JR109" s="26"/>
      <c r="JS109" s="23"/>
      <c r="JT109" s="26"/>
      <c r="JU109" s="26"/>
      <c r="JV109" s="26"/>
      <c r="JW109" s="26"/>
      <c r="JX109" s="26"/>
      <c r="JY109" s="26"/>
      <c r="JZ109" s="26"/>
      <c r="KA109" s="26"/>
      <c r="KB109" s="26"/>
      <c r="KC109" s="26"/>
      <c r="KD109" s="26"/>
      <c r="KE109" s="26"/>
      <c r="KF109" s="26"/>
      <c r="KG109" s="26"/>
      <c r="KH109" s="26"/>
      <c r="KI109" s="26"/>
      <c r="KJ109" s="26"/>
      <c r="KK109" s="26"/>
      <c r="KL109" s="26"/>
      <c r="KM109" s="26"/>
      <c r="KN109" s="26"/>
      <c r="KO109" s="26"/>
      <c r="KP109" s="26"/>
      <c r="KQ109" s="26"/>
      <c r="KR109" s="26"/>
      <c r="KS109" s="26"/>
      <c r="KT109" s="26"/>
      <c r="KU109" s="26"/>
      <c r="KV109" s="26"/>
      <c r="KW109" s="26"/>
      <c r="KX109" s="26"/>
      <c r="KY109" s="26"/>
      <c r="KZ109" s="26"/>
      <c r="LA109" s="26"/>
      <c r="LB109" s="26"/>
      <c r="LC109" s="26"/>
      <c r="LD109" s="26"/>
      <c r="LE109" s="26"/>
      <c r="LF109" s="23"/>
      <c r="LG109" s="26"/>
      <c r="LH109" s="26"/>
      <c r="LI109" s="26"/>
      <c r="LJ109" s="26"/>
      <c r="LK109" s="26"/>
      <c r="LL109" s="26"/>
      <c r="LM109" s="26"/>
      <c r="LN109" s="26"/>
      <c r="LO109" s="26"/>
      <c r="LP109" s="26"/>
      <c r="LQ109" s="26"/>
      <c r="LR109" s="26"/>
      <c r="LS109" s="26"/>
      <c r="LT109" s="26"/>
      <c r="LU109" s="26"/>
      <c r="LV109" s="26"/>
      <c r="LW109" s="26"/>
      <c r="LX109" s="26"/>
      <c r="LY109" s="26"/>
      <c r="LZ109" s="26"/>
      <c r="MA109" s="26"/>
      <c r="MB109" s="26"/>
      <c r="MC109" s="26"/>
      <c r="MD109" s="26"/>
      <c r="ME109" s="26"/>
      <c r="MF109" s="26"/>
      <c r="MG109" s="26"/>
      <c r="MH109" s="26"/>
      <c r="MI109" s="26"/>
      <c r="MJ109" s="26"/>
      <c r="MK109" s="26"/>
      <c r="ML109" s="26"/>
      <c r="MM109" s="26"/>
      <c r="MN109" s="26"/>
      <c r="MO109" s="26"/>
      <c r="MP109" s="26"/>
      <c r="MQ109" s="26"/>
      <c r="MR109" s="26"/>
      <c r="MS109" s="23"/>
      <c r="MT109" s="26"/>
      <c r="MU109" s="26"/>
      <c r="MV109" s="26"/>
      <c r="MW109" s="26"/>
      <c r="MX109" s="26"/>
      <c r="MY109" s="26"/>
      <c r="MZ109" s="26"/>
      <c r="NA109" s="26"/>
      <c r="NB109" s="26"/>
      <c r="NC109" s="26"/>
      <c r="ND109" s="26"/>
      <c r="NE109" s="26"/>
      <c r="NF109" s="26"/>
      <c r="NG109" s="26"/>
      <c r="NH109" s="26"/>
      <c r="NI109" s="26"/>
      <c r="NJ109" s="26"/>
      <c r="NK109" s="26"/>
      <c r="NL109" s="26"/>
      <c r="NM109" s="26"/>
      <c r="NN109" s="26"/>
      <c r="NO109" s="26"/>
      <c r="NP109" s="26"/>
      <c r="NQ109" s="26"/>
      <c r="NR109" s="26"/>
      <c r="NS109" s="26"/>
      <c r="NT109" s="26"/>
      <c r="NU109" s="26"/>
      <c r="NV109" s="26"/>
      <c r="NW109" s="26"/>
      <c r="NX109" s="26"/>
      <c r="NY109" s="26"/>
      <c r="NZ109" s="26"/>
      <c r="OA109" s="26"/>
      <c r="OB109" s="26"/>
      <c r="OC109" s="26"/>
      <c r="OD109" s="26"/>
      <c r="OE109" s="26"/>
      <c r="OF109" s="23"/>
      <c r="OG109" s="26"/>
      <c r="OH109" s="26"/>
      <c r="OI109" s="26"/>
      <c r="OJ109" s="26"/>
      <c r="OK109" s="26"/>
      <c r="OL109" s="26"/>
      <c r="OM109" s="26"/>
      <c r="ON109" s="26"/>
      <c r="OO109" s="26"/>
      <c r="OP109" s="26"/>
      <c r="OQ109" s="26"/>
      <c r="OR109" s="26"/>
      <c r="OS109" s="26"/>
      <c r="OT109" s="26"/>
      <c r="OU109" s="26"/>
      <c r="OV109" s="26"/>
      <c r="OW109" s="26"/>
      <c r="OX109" s="26"/>
      <c r="OY109" s="26"/>
      <c r="OZ109" s="26"/>
      <c r="PA109" s="26"/>
      <c r="PB109" s="26"/>
      <c r="PC109" s="26"/>
      <c r="PD109" s="26"/>
      <c r="PE109" s="26"/>
      <c r="PF109" s="26"/>
      <c r="PG109" s="26"/>
      <c r="PH109" s="26"/>
      <c r="PI109" s="26"/>
      <c r="PJ109" s="26"/>
      <c r="PK109" s="26"/>
      <c r="PL109" s="26"/>
      <c r="PM109" s="26"/>
      <c r="PN109" s="26"/>
      <c r="PO109" s="26"/>
      <c r="PP109" s="26"/>
      <c r="PQ109" s="26"/>
      <c r="PR109" s="26"/>
    </row>
    <row r="110" spans="1:434" x14ac:dyDescent="0.25">
      <c r="A110" s="24"/>
      <c r="B110" s="25" t="s">
        <v>176</v>
      </c>
      <c r="C110" s="24" t="s">
        <v>70</v>
      </c>
      <c r="D110" s="24" t="s">
        <v>76</v>
      </c>
      <c r="E110" s="24"/>
      <c r="F110" s="23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3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3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23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3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3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3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6"/>
      <c r="JO110" s="26"/>
      <c r="JP110" s="26"/>
      <c r="JQ110" s="26"/>
      <c r="JR110" s="26"/>
      <c r="JS110" s="23"/>
      <c r="JT110" s="26"/>
      <c r="JU110" s="26"/>
      <c r="JV110" s="26"/>
      <c r="JW110" s="26"/>
      <c r="JX110" s="26"/>
      <c r="JY110" s="26"/>
      <c r="JZ110" s="26"/>
      <c r="KA110" s="26"/>
      <c r="KB110" s="26"/>
      <c r="KC110" s="26"/>
      <c r="KD110" s="26"/>
      <c r="KE110" s="26"/>
      <c r="KF110" s="26"/>
      <c r="KG110" s="26"/>
      <c r="KH110" s="26"/>
      <c r="KI110" s="26"/>
      <c r="KJ110" s="26"/>
      <c r="KK110" s="26"/>
      <c r="KL110" s="26"/>
      <c r="KM110" s="26"/>
      <c r="KN110" s="26"/>
      <c r="KO110" s="26"/>
      <c r="KP110" s="26"/>
      <c r="KQ110" s="26"/>
      <c r="KR110" s="26"/>
      <c r="KS110" s="26"/>
      <c r="KT110" s="26"/>
      <c r="KU110" s="26"/>
      <c r="KV110" s="26"/>
      <c r="KW110" s="26"/>
      <c r="KX110" s="26"/>
      <c r="KY110" s="26"/>
      <c r="KZ110" s="26"/>
      <c r="LA110" s="26"/>
      <c r="LB110" s="26"/>
      <c r="LC110" s="26"/>
      <c r="LD110" s="26"/>
      <c r="LE110" s="26"/>
      <c r="LF110" s="23"/>
      <c r="LG110" s="26"/>
      <c r="LH110" s="26"/>
      <c r="LI110" s="26"/>
      <c r="LJ110" s="26"/>
      <c r="LK110" s="26"/>
      <c r="LL110" s="26"/>
      <c r="LM110" s="26"/>
      <c r="LN110" s="26"/>
      <c r="LO110" s="26"/>
      <c r="LP110" s="26"/>
      <c r="LQ110" s="26"/>
      <c r="LR110" s="26"/>
      <c r="LS110" s="26"/>
      <c r="LT110" s="26"/>
      <c r="LU110" s="26"/>
      <c r="LV110" s="26"/>
      <c r="LW110" s="26"/>
      <c r="LX110" s="26"/>
      <c r="LY110" s="26"/>
      <c r="LZ110" s="26"/>
      <c r="MA110" s="26"/>
      <c r="MB110" s="26"/>
      <c r="MC110" s="26"/>
      <c r="MD110" s="26"/>
      <c r="ME110" s="26"/>
      <c r="MF110" s="26"/>
      <c r="MG110" s="26"/>
      <c r="MH110" s="26"/>
      <c r="MI110" s="26"/>
      <c r="MJ110" s="26"/>
      <c r="MK110" s="26"/>
      <c r="ML110" s="26"/>
      <c r="MM110" s="26"/>
      <c r="MN110" s="26"/>
      <c r="MO110" s="26"/>
      <c r="MP110" s="26"/>
      <c r="MQ110" s="26"/>
      <c r="MR110" s="26"/>
      <c r="MS110" s="23"/>
      <c r="MT110" s="26"/>
      <c r="MU110" s="26"/>
      <c r="MV110" s="26"/>
      <c r="MW110" s="26"/>
      <c r="MX110" s="26"/>
      <c r="MY110" s="26"/>
      <c r="MZ110" s="26"/>
      <c r="NA110" s="26"/>
      <c r="NB110" s="26"/>
      <c r="NC110" s="26"/>
      <c r="ND110" s="26"/>
      <c r="NE110" s="26"/>
      <c r="NF110" s="26"/>
      <c r="NG110" s="26"/>
      <c r="NH110" s="26"/>
      <c r="NI110" s="26"/>
      <c r="NJ110" s="26"/>
      <c r="NK110" s="26"/>
      <c r="NL110" s="26"/>
      <c r="NM110" s="26"/>
      <c r="NN110" s="26"/>
      <c r="NO110" s="26"/>
      <c r="NP110" s="26"/>
      <c r="NQ110" s="26"/>
      <c r="NR110" s="26"/>
      <c r="NS110" s="26"/>
      <c r="NT110" s="26"/>
      <c r="NU110" s="26"/>
      <c r="NV110" s="26"/>
      <c r="NW110" s="26"/>
      <c r="NX110" s="26"/>
      <c r="NY110" s="26"/>
      <c r="NZ110" s="26"/>
      <c r="OA110" s="26"/>
      <c r="OB110" s="26"/>
      <c r="OC110" s="26"/>
      <c r="OD110" s="26"/>
      <c r="OE110" s="26"/>
      <c r="OF110" s="23"/>
      <c r="OG110" s="26"/>
      <c r="OH110" s="26"/>
      <c r="OI110" s="26"/>
      <c r="OJ110" s="26"/>
      <c r="OK110" s="26"/>
      <c r="OL110" s="26"/>
      <c r="OM110" s="26"/>
      <c r="ON110" s="26"/>
      <c r="OO110" s="26"/>
      <c r="OP110" s="26"/>
      <c r="OQ110" s="26"/>
      <c r="OR110" s="26"/>
      <c r="OS110" s="26"/>
      <c r="OT110" s="26"/>
      <c r="OU110" s="26"/>
      <c r="OV110" s="26"/>
      <c r="OW110" s="26"/>
      <c r="OX110" s="26"/>
      <c r="OY110" s="26"/>
      <c r="OZ110" s="26"/>
      <c r="PA110" s="26"/>
      <c r="PB110" s="26"/>
      <c r="PC110" s="26"/>
      <c r="PD110" s="26"/>
      <c r="PE110" s="26"/>
      <c r="PF110" s="26"/>
      <c r="PG110" s="26"/>
      <c r="PH110" s="26"/>
      <c r="PI110" s="26"/>
      <c r="PJ110" s="26"/>
      <c r="PK110" s="26"/>
      <c r="PL110" s="26"/>
      <c r="PM110" s="26"/>
      <c r="PN110" s="26"/>
      <c r="PO110" s="26"/>
      <c r="PP110" s="26"/>
      <c r="PQ110" s="26"/>
      <c r="PR110" s="26"/>
    </row>
    <row r="111" spans="1:434" ht="25.5" x14ac:dyDescent="0.25">
      <c r="A111" s="24"/>
      <c r="B111" s="25" t="s">
        <v>177</v>
      </c>
      <c r="C111" s="24" t="s">
        <v>70</v>
      </c>
      <c r="D111" s="24" t="s">
        <v>73</v>
      </c>
      <c r="E111" s="24"/>
      <c r="F111" s="23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3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3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23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3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3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3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  <c r="JM111" s="26"/>
      <c r="JN111" s="26"/>
      <c r="JO111" s="26"/>
      <c r="JP111" s="26"/>
      <c r="JQ111" s="26"/>
      <c r="JR111" s="26"/>
      <c r="JS111" s="23"/>
      <c r="JT111" s="26"/>
      <c r="JU111" s="26"/>
      <c r="JV111" s="26"/>
      <c r="JW111" s="26"/>
      <c r="JX111" s="26"/>
      <c r="JY111" s="26"/>
      <c r="JZ111" s="26"/>
      <c r="KA111" s="26"/>
      <c r="KB111" s="26"/>
      <c r="KC111" s="26"/>
      <c r="KD111" s="26"/>
      <c r="KE111" s="26"/>
      <c r="KF111" s="26"/>
      <c r="KG111" s="26"/>
      <c r="KH111" s="26"/>
      <c r="KI111" s="26"/>
      <c r="KJ111" s="26"/>
      <c r="KK111" s="26"/>
      <c r="KL111" s="26"/>
      <c r="KM111" s="26"/>
      <c r="KN111" s="26"/>
      <c r="KO111" s="26"/>
      <c r="KP111" s="26"/>
      <c r="KQ111" s="26"/>
      <c r="KR111" s="26"/>
      <c r="KS111" s="26"/>
      <c r="KT111" s="26"/>
      <c r="KU111" s="26"/>
      <c r="KV111" s="26"/>
      <c r="KW111" s="26"/>
      <c r="KX111" s="26"/>
      <c r="KY111" s="26"/>
      <c r="KZ111" s="26"/>
      <c r="LA111" s="26"/>
      <c r="LB111" s="26"/>
      <c r="LC111" s="26"/>
      <c r="LD111" s="26"/>
      <c r="LE111" s="26"/>
      <c r="LF111" s="23"/>
      <c r="LG111" s="26"/>
      <c r="LH111" s="26"/>
      <c r="LI111" s="26"/>
      <c r="LJ111" s="26"/>
      <c r="LK111" s="26"/>
      <c r="LL111" s="26"/>
      <c r="LM111" s="26"/>
      <c r="LN111" s="26"/>
      <c r="LO111" s="26"/>
      <c r="LP111" s="26"/>
      <c r="LQ111" s="26"/>
      <c r="LR111" s="26"/>
      <c r="LS111" s="26"/>
      <c r="LT111" s="26"/>
      <c r="LU111" s="26"/>
      <c r="LV111" s="26"/>
      <c r="LW111" s="26"/>
      <c r="LX111" s="26"/>
      <c r="LY111" s="26"/>
      <c r="LZ111" s="26"/>
      <c r="MA111" s="26"/>
      <c r="MB111" s="26"/>
      <c r="MC111" s="26"/>
      <c r="MD111" s="26"/>
      <c r="ME111" s="26"/>
      <c r="MF111" s="26"/>
      <c r="MG111" s="26"/>
      <c r="MH111" s="26"/>
      <c r="MI111" s="26"/>
      <c r="MJ111" s="26"/>
      <c r="MK111" s="26"/>
      <c r="ML111" s="26"/>
      <c r="MM111" s="26"/>
      <c r="MN111" s="26"/>
      <c r="MO111" s="26"/>
      <c r="MP111" s="26"/>
      <c r="MQ111" s="26"/>
      <c r="MR111" s="26"/>
      <c r="MS111" s="23"/>
      <c r="MT111" s="26"/>
      <c r="MU111" s="26"/>
      <c r="MV111" s="26"/>
      <c r="MW111" s="26"/>
      <c r="MX111" s="26"/>
      <c r="MY111" s="26"/>
      <c r="MZ111" s="26"/>
      <c r="NA111" s="26"/>
      <c r="NB111" s="26"/>
      <c r="NC111" s="26"/>
      <c r="ND111" s="26"/>
      <c r="NE111" s="26"/>
      <c r="NF111" s="26"/>
      <c r="NG111" s="26"/>
      <c r="NH111" s="26"/>
      <c r="NI111" s="26"/>
      <c r="NJ111" s="26"/>
      <c r="NK111" s="26"/>
      <c r="NL111" s="26"/>
      <c r="NM111" s="26"/>
      <c r="NN111" s="26"/>
      <c r="NO111" s="26"/>
      <c r="NP111" s="26"/>
      <c r="NQ111" s="26"/>
      <c r="NR111" s="26"/>
      <c r="NS111" s="26"/>
      <c r="NT111" s="26"/>
      <c r="NU111" s="26"/>
      <c r="NV111" s="26"/>
      <c r="NW111" s="26"/>
      <c r="NX111" s="26"/>
      <c r="NY111" s="26"/>
      <c r="NZ111" s="26"/>
      <c r="OA111" s="26"/>
      <c r="OB111" s="26"/>
      <c r="OC111" s="26"/>
      <c r="OD111" s="26"/>
      <c r="OE111" s="26"/>
      <c r="OF111" s="23"/>
      <c r="OG111" s="26"/>
      <c r="OH111" s="26"/>
      <c r="OI111" s="26"/>
      <c r="OJ111" s="26"/>
      <c r="OK111" s="26"/>
      <c r="OL111" s="26"/>
      <c r="OM111" s="26"/>
      <c r="ON111" s="26"/>
      <c r="OO111" s="26"/>
      <c r="OP111" s="26"/>
      <c r="OQ111" s="26"/>
      <c r="OR111" s="26"/>
      <c r="OS111" s="26"/>
      <c r="OT111" s="26"/>
      <c r="OU111" s="26"/>
      <c r="OV111" s="26"/>
      <c r="OW111" s="26"/>
      <c r="OX111" s="26"/>
      <c r="OY111" s="26"/>
      <c r="OZ111" s="26"/>
      <c r="PA111" s="26"/>
      <c r="PB111" s="26"/>
      <c r="PC111" s="26"/>
      <c r="PD111" s="26"/>
      <c r="PE111" s="26"/>
      <c r="PF111" s="26"/>
      <c r="PG111" s="26"/>
      <c r="PH111" s="26"/>
      <c r="PI111" s="26"/>
      <c r="PJ111" s="26"/>
      <c r="PK111" s="26"/>
      <c r="PL111" s="26"/>
      <c r="PM111" s="26"/>
      <c r="PN111" s="26"/>
      <c r="PO111" s="26"/>
      <c r="PP111" s="26"/>
      <c r="PQ111" s="26"/>
      <c r="PR111" s="26"/>
    </row>
    <row r="112" spans="1:434" x14ac:dyDescent="0.25">
      <c r="A112" s="24"/>
      <c r="B112" s="25" t="s">
        <v>178</v>
      </c>
      <c r="C112" s="24" t="s">
        <v>66</v>
      </c>
      <c r="D112" s="24" t="s">
        <v>179</v>
      </c>
      <c r="E112" s="24"/>
      <c r="F112" s="23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3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3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23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3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3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3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3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6"/>
      <c r="KR112" s="26"/>
      <c r="KS112" s="26"/>
      <c r="KT112" s="26"/>
      <c r="KU112" s="26"/>
      <c r="KV112" s="26"/>
      <c r="KW112" s="26"/>
      <c r="KX112" s="26"/>
      <c r="KY112" s="26"/>
      <c r="KZ112" s="26"/>
      <c r="LA112" s="26"/>
      <c r="LB112" s="26"/>
      <c r="LC112" s="26"/>
      <c r="LD112" s="26"/>
      <c r="LE112" s="26"/>
      <c r="LF112" s="23"/>
      <c r="LG112" s="26"/>
      <c r="LH112" s="26"/>
      <c r="LI112" s="26"/>
      <c r="LJ112" s="26"/>
      <c r="LK112" s="26"/>
      <c r="LL112" s="26"/>
      <c r="LM112" s="26"/>
      <c r="LN112" s="26"/>
      <c r="LO112" s="26"/>
      <c r="LP112" s="26"/>
      <c r="LQ112" s="26"/>
      <c r="LR112" s="26"/>
      <c r="LS112" s="26"/>
      <c r="LT112" s="26"/>
      <c r="LU112" s="26"/>
      <c r="LV112" s="26"/>
      <c r="LW112" s="26"/>
      <c r="LX112" s="26"/>
      <c r="LY112" s="26"/>
      <c r="LZ112" s="26"/>
      <c r="MA112" s="26"/>
      <c r="MB112" s="26"/>
      <c r="MC112" s="26"/>
      <c r="MD112" s="26"/>
      <c r="ME112" s="26"/>
      <c r="MF112" s="26"/>
      <c r="MG112" s="26"/>
      <c r="MH112" s="26"/>
      <c r="MI112" s="26"/>
      <c r="MJ112" s="26"/>
      <c r="MK112" s="26"/>
      <c r="ML112" s="26"/>
      <c r="MM112" s="26"/>
      <c r="MN112" s="26"/>
      <c r="MO112" s="26"/>
      <c r="MP112" s="26"/>
      <c r="MQ112" s="26"/>
      <c r="MR112" s="26"/>
      <c r="MS112" s="23"/>
      <c r="MT112" s="26"/>
      <c r="MU112" s="26"/>
      <c r="MV112" s="26"/>
      <c r="MW112" s="26"/>
      <c r="MX112" s="26"/>
      <c r="MY112" s="26"/>
      <c r="MZ112" s="26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3"/>
      <c r="OG112" s="26"/>
      <c r="OH112" s="26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</row>
    <row r="113" spans="1:434" x14ac:dyDescent="0.25">
      <c r="A113" s="24"/>
      <c r="B113" s="25" t="s">
        <v>180</v>
      </c>
      <c r="C113" s="24" t="s">
        <v>70</v>
      </c>
      <c r="D113" s="24" t="s">
        <v>76</v>
      </c>
      <c r="E113" s="24"/>
      <c r="F113" s="23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3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3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23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3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3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3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6"/>
      <c r="JO113" s="26"/>
      <c r="JP113" s="26"/>
      <c r="JQ113" s="26"/>
      <c r="JR113" s="26"/>
      <c r="JS113" s="23"/>
      <c r="JT113" s="26"/>
      <c r="JU113" s="26"/>
      <c r="JV113" s="26"/>
      <c r="JW113" s="26"/>
      <c r="JX113" s="26"/>
      <c r="JY113" s="26"/>
      <c r="JZ113" s="26"/>
      <c r="KA113" s="26"/>
      <c r="KB113" s="26"/>
      <c r="KC113" s="26"/>
      <c r="KD113" s="26"/>
      <c r="KE113" s="26"/>
      <c r="KF113" s="26"/>
      <c r="KG113" s="26"/>
      <c r="KH113" s="26"/>
      <c r="KI113" s="26"/>
      <c r="KJ113" s="26"/>
      <c r="KK113" s="26"/>
      <c r="KL113" s="26"/>
      <c r="KM113" s="26"/>
      <c r="KN113" s="26"/>
      <c r="KO113" s="26"/>
      <c r="KP113" s="26"/>
      <c r="KQ113" s="26"/>
      <c r="KR113" s="26"/>
      <c r="KS113" s="26"/>
      <c r="KT113" s="26"/>
      <c r="KU113" s="26"/>
      <c r="KV113" s="26"/>
      <c r="KW113" s="26"/>
      <c r="KX113" s="26"/>
      <c r="KY113" s="26"/>
      <c r="KZ113" s="26"/>
      <c r="LA113" s="26"/>
      <c r="LB113" s="26"/>
      <c r="LC113" s="26"/>
      <c r="LD113" s="26"/>
      <c r="LE113" s="26"/>
      <c r="LF113" s="23"/>
      <c r="LG113" s="26"/>
      <c r="LH113" s="26"/>
      <c r="LI113" s="26"/>
      <c r="LJ113" s="26"/>
      <c r="LK113" s="26"/>
      <c r="LL113" s="26"/>
      <c r="LM113" s="26"/>
      <c r="LN113" s="26"/>
      <c r="LO113" s="26"/>
      <c r="LP113" s="26"/>
      <c r="LQ113" s="26"/>
      <c r="LR113" s="26"/>
      <c r="LS113" s="26"/>
      <c r="LT113" s="26"/>
      <c r="LU113" s="26"/>
      <c r="LV113" s="26"/>
      <c r="LW113" s="26"/>
      <c r="LX113" s="26"/>
      <c r="LY113" s="26"/>
      <c r="LZ113" s="26"/>
      <c r="MA113" s="26"/>
      <c r="MB113" s="26"/>
      <c r="MC113" s="26"/>
      <c r="MD113" s="26"/>
      <c r="ME113" s="26"/>
      <c r="MF113" s="26"/>
      <c r="MG113" s="26"/>
      <c r="MH113" s="26"/>
      <c r="MI113" s="26"/>
      <c r="MJ113" s="26"/>
      <c r="MK113" s="26"/>
      <c r="ML113" s="26"/>
      <c r="MM113" s="26"/>
      <c r="MN113" s="26"/>
      <c r="MO113" s="26"/>
      <c r="MP113" s="26"/>
      <c r="MQ113" s="26"/>
      <c r="MR113" s="26"/>
      <c r="MS113" s="23"/>
      <c r="MT113" s="26"/>
      <c r="MU113" s="26"/>
      <c r="MV113" s="26"/>
      <c r="MW113" s="26"/>
      <c r="MX113" s="26"/>
      <c r="MY113" s="26"/>
      <c r="MZ113" s="26"/>
      <c r="NA113" s="26"/>
      <c r="NB113" s="26"/>
      <c r="NC113" s="26"/>
      <c r="ND113" s="26"/>
      <c r="NE113" s="26"/>
      <c r="NF113" s="26"/>
      <c r="NG113" s="26"/>
      <c r="NH113" s="26"/>
      <c r="NI113" s="26"/>
      <c r="NJ113" s="26"/>
      <c r="NK113" s="26"/>
      <c r="NL113" s="26"/>
      <c r="NM113" s="26"/>
      <c r="NN113" s="26"/>
      <c r="NO113" s="26"/>
      <c r="NP113" s="26"/>
      <c r="NQ113" s="26"/>
      <c r="NR113" s="26"/>
      <c r="NS113" s="26"/>
      <c r="NT113" s="26"/>
      <c r="NU113" s="26"/>
      <c r="NV113" s="26"/>
      <c r="NW113" s="26"/>
      <c r="NX113" s="26"/>
      <c r="NY113" s="26"/>
      <c r="NZ113" s="26"/>
      <c r="OA113" s="26"/>
      <c r="OB113" s="26"/>
      <c r="OC113" s="26"/>
      <c r="OD113" s="26"/>
      <c r="OE113" s="26"/>
      <c r="OF113" s="23"/>
      <c r="OG113" s="26"/>
      <c r="OH113" s="26"/>
      <c r="OI113" s="26"/>
      <c r="OJ113" s="26"/>
      <c r="OK113" s="26"/>
      <c r="OL113" s="26"/>
      <c r="OM113" s="26"/>
      <c r="ON113" s="26"/>
      <c r="OO113" s="26"/>
      <c r="OP113" s="26"/>
      <c r="OQ113" s="26"/>
      <c r="OR113" s="26"/>
      <c r="OS113" s="26"/>
      <c r="OT113" s="26"/>
      <c r="OU113" s="26"/>
      <c r="OV113" s="26"/>
      <c r="OW113" s="26"/>
      <c r="OX113" s="26"/>
      <c r="OY113" s="26"/>
      <c r="OZ113" s="26"/>
      <c r="PA113" s="26"/>
      <c r="PB113" s="26"/>
      <c r="PC113" s="26"/>
      <c r="PD113" s="26"/>
      <c r="PE113" s="26"/>
      <c r="PF113" s="26"/>
      <c r="PG113" s="26"/>
      <c r="PH113" s="26"/>
      <c r="PI113" s="26"/>
      <c r="PJ113" s="26"/>
      <c r="PK113" s="26"/>
      <c r="PL113" s="26"/>
      <c r="PM113" s="26"/>
      <c r="PN113" s="26"/>
      <c r="PO113" s="26"/>
      <c r="PP113" s="26"/>
      <c r="PQ113" s="26"/>
      <c r="PR113" s="26"/>
    </row>
    <row r="114" spans="1:434" x14ac:dyDescent="0.25">
      <c r="A114" s="24"/>
      <c r="B114" s="25" t="s">
        <v>181</v>
      </c>
      <c r="C114" s="24" t="s">
        <v>70</v>
      </c>
      <c r="D114" s="24" t="s">
        <v>76</v>
      </c>
      <c r="E114" s="24"/>
      <c r="F114" s="23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3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3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23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3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3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3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6"/>
      <c r="JO114" s="26"/>
      <c r="JP114" s="26"/>
      <c r="JQ114" s="26"/>
      <c r="JR114" s="26"/>
      <c r="JS114" s="23"/>
      <c r="JT114" s="26"/>
      <c r="JU114" s="26"/>
      <c r="JV114" s="26"/>
      <c r="JW114" s="26"/>
      <c r="JX114" s="26"/>
      <c r="JY114" s="26"/>
      <c r="JZ114" s="26"/>
      <c r="KA114" s="26"/>
      <c r="KB114" s="26"/>
      <c r="KC114" s="26"/>
      <c r="KD114" s="26"/>
      <c r="KE114" s="26"/>
      <c r="KF114" s="26"/>
      <c r="KG114" s="26"/>
      <c r="KH114" s="26"/>
      <c r="KI114" s="26"/>
      <c r="KJ114" s="26"/>
      <c r="KK114" s="26"/>
      <c r="KL114" s="26"/>
      <c r="KM114" s="26"/>
      <c r="KN114" s="26"/>
      <c r="KO114" s="26"/>
      <c r="KP114" s="26"/>
      <c r="KQ114" s="26"/>
      <c r="KR114" s="26"/>
      <c r="KS114" s="26"/>
      <c r="KT114" s="26"/>
      <c r="KU114" s="26"/>
      <c r="KV114" s="26"/>
      <c r="KW114" s="26"/>
      <c r="KX114" s="26"/>
      <c r="KY114" s="26"/>
      <c r="KZ114" s="26"/>
      <c r="LA114" s="26"/>
      <c r="LB114" s="26"/>
      <c r="LC114" s="26"/>
      <c r="LD114" s="26"/>
      <c r="LE114" s="26"/>
      <c r="LF114" s="23"/>
      <c r="LG114" s="26"/>
      <c r="LH114" s="26"/>
      <c r="LI114" s="26"/>
      <c r="LJ114" s="26"/>
      <c r="LK114" s="26"/>
      <c r="LL114" s="26"/>
      <c r="LM114" s="26"/>
      <c r="LN114" s="26"/>
      <c r="LO114" s="26"/>
      <c r="LP114" s="26"/>
      <c r="LQ114" s="26"/>
      <c r="LR114" s="26"/>
      <c r="LS114" s="26"/>
      <c r="LT114" s="26"/>
      <c r="LU114" s="26"/>
      <c r="LV114" s="26"/>
      <c r="LW114" s="26"/>
      <c r="LX114" s="26"/>
      <c r="LY114" s="26"/>
      <c r="LZ114" s="26"/>
      <c r="MA114" s="26"/>
      <c r="MB114" s="26"/>
      <c r="MC114" s="26"/>
      <c r="MD114" s="26"/>
      <c r="ME114" s="26"/>
      <c r="MF114" s="26"/>
      <c r="MG114" s="26"/>
      <c r="MH114" s="26"/>
      <c r="MI114" s="26"/>
      <c r="MJ114" s="26"/>
      <c r="MK114" s="26"/>
      <c r="ML114" s="26"/>
      <c r="MM114" s="26"/>
      <c r="MN114" s="26"/>
      <c r="MO114" s="26"/>
      <c r="MP114" s="26"/>
      <c r="MQ114" s="26"/>
      <c r="MR114" s="26"/>
      <c r="MS114" s="23"/>
      <c r="MT114" s="26"/>
      <c r="MU114" s="26"/>
      <c r="MV114" s="26"/>
      <c r="MW114" s="26"/>
      <c r="MX114" s="26"/>
      <c r="MY114" s="26"/>
      <c r="MZ114" s="26"/>
      <c r="NA114" s="26"/>
      <c r="NB114" s="26"/>
      <c r="NC114" s="26"/>
      <c r="ND114" s="26"/>
      <c r="NE114" s="26"/>
      <c r="NF114" s="26"/>
      <c r="NG114" s="26"/>
      <c r="NH114" s="26"/>
      <c r="NI114" s="26"/>
      <c r="NJ114" s="26"/>
      <c r="NK114" s="26"/>
      <c r="NL114" s="26"/>
      <c r="NM114" s="26"/>
      <c r="NN114" s="26"/>
      <c r="NO114" s="26"/>
      <c r="NP114" s="26"/>
      <c r="NQ114" s="26"/>
      <c r="NR114" s="26"/>
      <c r="NS114" s="26"/>
      <c r="NT114" s="26"/>
      <c r="NU114" s="26"/>
      <c r="NV114" s="26"/>
      <c r="NW114" s="26"/>
      <c r="NX114" s="26"/>
      <c r="NY114" s="26"/>
      <c r="NZ114" s="26"/>
      <c r="OA114" s="26"/>
      <c r="OB114" s="26"/>
      <c r="OC114" s="26"/>
      <c r="OD114" s="26"/>
      <c r="OE114" s="26"/>
      <c r="OF114" s="23"/>
      <c r="OG114" s="26"/>
      <c r="OH114" s="26"/>
      <c r="OI114" s="26"/>
      <c r="OJ114" s="26"/>
      <c r="OK114" s="26"/>
      <c r="OL114" s="26"/>
      <c r="OM114" s="26"/>
      <c r="ON114" s="26"/>
      <c r="OO114" s="26"/>
      <c r="OP114" s="26"/>
      <c r="OQ114" s="26"/>
      <c r="OR114" s="26"/>
      <c r="OS114" s="26"/>
      <c r="OT114" s="26"/>
      <c r="OU114" s="26"/>
      <c r="OV114" s="26"/>
      <c r="OW114" s="26"/>
      <c r="OX114" s="26"/>
      <c r="OY114" s="26"/>
      <c r="OZ114" s="26"/>
      <c r="PA114" s="26"/>
      <c r="PB114" s="26"/>
      <c r="PC114" s="26"/>
      <c r="PD114" s="26"/>
      <c r="PE114" s="26"/>
      <c r="PF114" s="26"/>
      <c r="PG114" s="26"/>
      <c r="PH114" s="26"/>
      <c r="PI114" s="26"/>
      <c r="PJ114" s="26"/>
      <c r="PK114" s="26"/>
      <c r="PL114" s="26"/>
      <c r="PM114" s="26"/>
      <c r="PN114" s="26"/>
      <c r="PO114" s="26"/>
      <c r="PP114" s="26"/>
      <c r="PQ114" s="26"/>
      <c r="PR114" s="26"/>
    </row>
    <row r="115" spans="1:434" ht="21.95" customHeight="1" x14ac:dyDescent="0.25">
      <c r="A115" s="87" t="s">
        <v>182</v>
      </c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  <c r="FU115" s="88"/>
      <c r="FV115" s="88"/>
      <c r="FW115" s="88"/>
      <c r="FX115" s="88"/>
      <c r="FY115" s="88"/>
      <c r="FZ115" s="88"/>
      <c r="GA115" s="88"/>
      <c r="GB115" s="88"/>
      <c r="GC115" s="88"/>
      <c r="GD115" s="88"/>
      <c r="GE115" s="88"/>
      <c r="GF115" s="88"/>
      <c r="GG115" s="88"/>
      <c r="GH115" s="88"/>
      <c r="GI115" s="8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88"/>
      <c r="HK115" s="88"/>
      <c r="HL115" s="88"/>
      <c r="HM115" s="88"/>
      <c r="HN115" s="88"/>
      <c r="HO115" s="88"/>
      <c r="HP115" s="8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88"/>
      <c r="IH115" s="88"/>
      <c r="II115" s="88"/>
      <c r="IJ115" s="88"/>
      <c r="IK115" s="88"/>
      <c r="IL115" s="88"/>
      <c r="IM115" s="88"/>
      <c r="IN115" s="88"/>
      <c r="IO115" s="88"/>
      <c r="IP115" s="88"/>
      <c r="IQ115" s="88"/>
      <c r="IR115" s="88"/>
      <c r="IS115" s="88"/>
      <c r="IT115" s="88"/>
      <c r="IU115" s="88"/>
      <c r="IV115" s="88"/>
      <c r="IW115" s="88"/>
      <c r="IX115" s="88"/>
      <c r="IY115" s="88"/>
      <c r="IZ115" s="88"/>
      <c r="JA115" s="88"/>
      <c r="JB115" s="88"/>
      <c r="JC115" s="88"/>
      <c r="JD115" s="88"/>
      <c r="JE115" s="88"/>
      <c r="JF115" s="88"/>
      <c r="JG115" s="88"/>
      <c r="JH115" s="88"/>
      <c r="JI115" s="88"/>
      <c r="JJ115" s="88"/>
      <c r="JK115" s="88"/>
      <c r="JL115" s="88"/>
      <c r="JM115" s="88"/>
      <c r="JN115" s="88"/>
      <c r="JO115" s="88"/>
      <c r="JP115" s="88"/>
      <c r="JQ115" s="88"/>
      <c r="JR115" s="88"/>
      <c r="JS115" s="88"/>
      <c r="JT115" s="88"/>
      <c r="JU115" s="88"/>
      <c r="JV115" s="88"/>
      <c r="JW115" s="88"/>
      <c r="JX115" s="88"/>
      <c r="JY115" s="88"/>
      <c r="JZ115" s="88"/>
      <c r="KA115" s="88"/>
      <c r="KB115" s="88"/>
      <c r="KC115" s="88"/>
      <c r="KD115" s="88"/>
      <c r="KE115" s="88"/>
      <c r="KF115" s="88"/>
      <c r="KG115" s="88"/>
      <c r="KH115" s="88"/>
      <c r="KI115" s="88"/>
      <c r="KJ115" s="88"/>
      <c r="KK115" s="88"/>
      <c r="KL115" s="88"/>
      <c r="KM115" s="88"/>
      <c r="KN115" s="88"/>
      <c r="KO115" s="88"/>
      <c r="KP115" s="88"/>
      <c r="KQ115" s="88"/>
      <c r="KR115" s="88"/>
      <c r="KS115" s="88"/>
      <c r="KT115" s="88"/>
      <c r="KU115" s="88"/>
      <c r="KV115" s="88"/>
      <c r="KW115" s="88"/>
      <c r="KX115" s="88"/>
      <c r="KY115" s="88"/>
      <c r="KZ115" s="88"/>
      <c r="LA115" s="88"/>
      <c r="LB115" s="88"/>
      <c r="LC115" s="88"/>
      <c r="LD115" s="88"/>
      <c r="LE115" s="88"/>
      <c r="LF115" s="88"/>
      <c r="LG115" s="88"/>
      <c r="LH115" s="88"/>
      <c r="LI115" s="88"/>
      <c r="LJ115" s="88"/>
      <c r="LK115" s="88"/>
      <c r="LL115" s="88"/>
      <c r="LM115" s="88"/>
      <c r="LN115" s="88"/>
      <c r="LO115" s="88"/>
      <c r="LP115" s="88"/>
      <c r="LQ115" s="88"/>
      <c r="LR115" s="88"/>
      <c r="LS115" s="88"/>
      <c r="LT115" s="88"/>
      <c r="LU115" s="88"/>
      <c r="LV115" s="88"/>
      <c r="LW115" s="88"/>
      <c r="LX115" s="88"/>
      <c r="LY115" s="88"/>
      <c r="LZ115" s="88"/>
      <c r="MA115" s="88"/>
      <c r="MB115" s="88"/>
      <c r="MC115" s="88"/>
      <c r="MD115" s="88"/>
      <c r="ME115" s="88"/>
      <c r="MF115" s="88"/>
      <c r="MG115" s="88"/>
      <c r="MH115" s="88"/>
      <c r="MI115" s="88"/>
      <c r="MJ115" s="88"/>
      <c r="MK115" s="88"/>
      <c r="ML115" s="88"/>
      <c r="MM115" s="88"/>
      <c r="MN115" s="88"/>
      <c r="MO115" s="88"/>
      <c r="MP115" s="88"/>
      <c r="MQ115" s="88"/>
      <c r="MR115" s="88"/>
      <c r="MS115" s="88"/>
      <c r="MT115" s="88"/>
      <c r="MU115" s="88"/>
      <c r="MV115" s="88"/>
      <c r="MW115" s="88"/>
      <c r="MX115" s="88"/>
      <c r="MY115" s="88"/>
      <c r="MZ115" s="88"/>
      <c r="NA115" s="88"/>
      <c r="NB115" s="88"/>
      <c r="NC115" s="88"/>
      <c r="ND115" s="88"/>
      <c r="NE115" s="88"/>
      <c r="NF115" s="88"/>
      <c r="NG115" s="88"/>
      <c r="NH115" s="88"/>
      <c r="NI115" s="88"/>
      <c r="NJ115" s="88"/>
      <c r="NK115" s="88"/>
      <c r="NL115" s="88"/>
      <c r="NM115" s="88"/>
      <c r="NN115" s="88"/>
      <c r="NO115" s="88"/>
      <c r="NP115" s="88"/>
      <c r="NQ115" s="88"/>
      <c r="NR115" s="88"/>
      <c r="NS115" s="88"/>
      <c r="NT115" s="88"/>
      <c r="NU115" s="88"/>
      <c r="NV115" s="88"/>
      <c r="NW115" s="88"/>
      <c r="NX115" s="88"/>
      <c r="NY115" s="88"/>
      <c r="NZ115" s="88"/>
      <c r="OA115" s="88"/>
      <c r="OB115" s="88"/>
      <c r="OC115" s="88"/>
      <c r="OD115" s="88"/>
      <c r="OE115" s="88"/>
      <c r="OF115" s="88"/>
      <c r="OG115" s="88"/>
      <c r="OH115" s="88"/>
      <c r="OI115" s="88"/>
      <c r="OJ115" s="88"/>
      <c r="OK115" s="88"/>
      <c r="OL115" s="88"/>
      <c r="OM115" s="88"/>
      <c r="ON115" s="88"/>
      <c r="OO115" s="88"/>
      <c r="OP115" s="88"/>
      <c r="OQ115" s="88"/>
      <c r="OR115" s="88"/>
      <c r="OS115" s="88"/>
      <c r="OT115" s="88"/>
      <c r="OU115" s="88"/>
      <c r="OV115" s="88"/>
      <c r="OW115" s="88"/>
      <c r="OX115" s="88"/>
      <c r="OY115" s="88"/>
      <c r="OZ115" s="88"/>
      <c r="PA115" s="88"/>
      <c r="PB115" s="88"/>
      <c r="PC115" s="88"/>
      <c r="PD115" s="88"/>
      <c r="PE115" s="88"/>
      <c r="PF115" s="88"/>
      <c r="PG115" s="88"/>
      <c r="PH115" s="88"/>
      <c r="PI115" s="88"/>
      <c r="PJ115" s="88"/>
      <c r="PK115" s="88"/>
      <c r="PL115" s="88"/>
      <c r="PM115" s="88"/>
      <c r="PN115" s="88"/>
      <c r="PO115" s="88"/>
      <c r="PP115" s="88"/>
      <c r="PQ115" s="88"/>
      <c r="PR115" s="89"/>
    </row>
    <row r="116" spans="1:434" ht="25.5" x14ac:dyDescent="0.25">
      <c r="A116" s="24"/>
      <c r="B116" s="25" t="s">
        <v>183</v>
      </c>
      <c r="C116" s="24" t="s">
        <v>70</v>
      </c>
      <c r="D116" s="24" t="s">
        <v>73</v>
      </c>
      <c r="E116" s="24"/>
      <c r="F116" s="23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3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3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23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3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3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3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3"/>
      <c r="JT116" s="26"/>
      <c r="JU116" s="26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  <c r="KO116" s="26"/>
      <c r="KP116" s="26"/>
      <c r="KQ116" s="26"/>
      <c r="KR116" s="26"/>
      <c r="KS116" s="26"/>
      <c r="KT116" s="26"/>
      <c r="KU116" s="26"/>
      <c r="KV116" s="26"/>
      <c r="KW116" s="26"/>
      <c r="KX116" s="26"/>
      <c r="KY116" s="26"/>
      <c r="KZ116" s="26"/>
      <c r="LA116" s="26"/>
      <c r="LB116" s="26"/>
      <c r="LC116" s="26"/>
      <c r="LD116" s="26"/>
      <c r="LE116" s="26"/>
      <c r="LF116" s="23"/>
      <c r="LG116" s="26"/>
      <c r="LH116" s="26"/>
      <c r="LI116" s="26"/>
      <c r="LJ116" s="26"/>
      <c r="LK116" s="26"/>
      <c r="LL116" s="26"/>
      <c r="LM116" s="26"/>
      <c r="LN116" s="26"/>
      <c r="LO116" s="26"/>
      <c r="LP116" s="26"/>
      <c r="LQ116" s="26"/>
      <c r="LR116" s="26"/>
      <c r="LS116" s="26"/>
      <c r="LT116" s="26"/>
      <c r="LU116" s="26"/>
      <c r="LV116" s="26"/>
      <c r="LW116" s="26"/>
      <c r="LX116" s="26"/>
      <c r="LY116" s="26"/>
      <c r="LZ116" s="26"/>
      <c r="MA116" s="26"/>
      <c r="MB116" s="26"/>
      <c r="MC116" s="26"/>
      <c r="MD116" s="26"/>
      <c r="ME116" s="26"/>
      <c r="MF116" s="26"/>
      <c r="MG116" s="26"/>
      <c r="MH116" s="26"/>
      <c r="MI116" s="26"/>
      <c r="MJ116" s="26"/>
      <c r="MK116" s="26"/>
      <c r="ML116" s="26"/>
      <c r="MM116" s="26"/>
      <c r="MN116" s="26"/>
      <c r="MO116" s="26"/>
      <c r="MP116" s="26"/>
      <c r="MQ116" s="26"/>
      <c r="MR116" s="26"/>
      <c r="MS116" s="23"/>
      <c r="MT116" s="26"/>
      <c r="MU116" s="26"/>
      <c r="MV116" s="26"/>
      <c r="MW116" s="26"/>
      <c r="MX116" s="26"/>
      <c r="MY116" s="26"/>
      <c r="MZ116" s="26"/>
      <c r="NA116" s="26"/>
      <c r="NB116" s="26"/>
      <c r="NC116" s="26"/>
      <c r="ND116" s="26"/>
      <c r="NE116" s="26"/>
      <c r="NF116" s="26"/>
      <c r="NG116" s="26"/>
      <c r="NH116" s="26"/>
      <c r="NI116" s="26"/>
      <c r="NJ116" s="26"/>
      <c r="NK116" s="26"/>
      <c r="NL116" s="26"/>
      <c r="NM116" s="26"/>
      <c r="NN116" s="26"/>
      <c r="NO116" s="26"/>
      <c r="NP116" s="26"/>
      <c r="NQ116" s="26"/>
      <c r="NR116" s="26"/>
      <c r="NS116" s="26"/>
      <c r="NT116" s="26"/>
      <c r="NU116" s="26"/>
      <c r="NV116" s="26"/>
      <c r="NW116" s="26"/>
      <c r="NX116" s="26"/>
      <c r="NY116" s="26"/>
      <c r="NZ116" s="26"/>
      <c r="OA116" s="26"/>
      <c r="OB116" s="26"/>
      <c r="OC116" s="26"/>
      <c r="OD116" s="26"/>
      <c r="OE116" s="26"/>
      <c r="OF116" s="23"/>
      <c r="OG116" s="26"/>
      <c r="OH116" s="26"/>
      <c r="OI116" s="26"/>
      <c r="OJ116" s="26"/>
      <c r="OK116" s="26"/>
      <c r="OL116" s="26"/>
      <c r="OM116" s="26"/>
      <c r="ON116" s="26"/>
      <c r="OO116" s="26"/>
      <c r="OP116" s="26"/>
      <c r="OQ116" s="26"/>
      <c r="OR116" s="26"/>
      <c r="OS116" s="26"/>
      <c r="OT116" s="26"/>
      <c r="OU116" s="26"/>
      <c r="OV116" s="26"/>
      <c r="OW116" s="26"/>
      <c r="OX116" s="26"/>
      <c r="OY116" s="26"/>
      <c r="OZ116" s="26"/>
      <c r="PA116" s="26"/>
      <c r="PB116" s="26"/>
      <c r="PC116" s="26"/>
      <c r="PD116" s="26"/>
      <c r="PE116" s="26"/>
      <c r="PF116" s="26"/>
      <c r="PG116" s="26"/>
      <c r="PH116" s="26"/>
      <c r="PI116" s="26"/>
      <c r="PJ116" s="26"/>
      <c r="PK116" s="26"/>
      <c r="PL116" s="26"/>
      <c r="PM116" s="26"/>
      <c r="PN116" s="26"/>
      <c r="PO116" s="26"/>
      <c r="PP116" s="26"/>
      <c r="PQ116" s="26"/>
      <c r="PR116" s="26"/>
    </row>
    <row r="117" spans="1:434" ht="25.5" x14ac:dyDescent="0.25">
      <c r="A117" s="24"/>
      <c r="B117" s="25" t="s">
        <v>184</v>
      </c>
      <c r="C117" s="24" t="s">
        <v>70</v>
      </c>
      <c r="D117" s="24" t="s">
        <v>73</v>
      </c>
      <c r="E117" s="24"/>
      <c r="F117" s="23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3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3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23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3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3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3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6"/>
      <c r="JO117" s="26"/>
      <c r="JP117" s="26"/>
      <c r="JQ117" s="26"/>
      <c r="JR117" s="26"/>
      <c r="JS117" s="23"/>
      <c r="JT117" s="26"/>
      <c r="JU117" s="26"/>
      <c r="JV117" s="26"/>
      <c r="JW117" s="26"/>
      <c r="JX117" s="26"/>
      <c r="JY117" s="26"/>
      <c r="JZ117" s="26"/>
      <c r="KA117" s="26"/>
      <c r="KB117" s="26"/>
      <c r="KC117" s="26"/>
      <c r="KD117" s="26"/>
      <c r="KE117" s="26"/>
      <c r="KF117" s="26"/>
      <c r="KG117" s="26"/>
      <c r="KH117" s="26"/>
      <c r="KI117" s="26"/>
      <c r="KJ117" s="26"/>
      <c r="KK117" s="26"/>
      <c r="KL117" s="26"/>
      <c r="KM117" s="26"/>
      <c r="KN117" s="26"/>
      <c r="KO117" s="26"/>
      <c r="KP117" s="26"/>
      <c r="KQ117" s="26"/>
      <c r="KR117" s="26"/>
      <c r="KS117" s="26"/>
      <c r="KT117" s="26"/>
      <c r="KU117" s="26"/>
      <c r="KV117" s="26"/>
      <c r="KW117" s="26"/>
      <c r="KX117" s="26"/>
      <c r="KY117" s="26"/>
      <c r="KZ117" s="26"/>
      <c r="LA117" s="26"/>
      <c r="LB117" s="26"/>
      <c r="LC117" s="26"/>
      <c r="LD117" s="26"/>
      <c r="LE117" s="26"/>
      <c r="LF117" s="23"/>
      <c r="LG117" s="26"/>
      <c r="LH117" s="26"/>
      <c r="LI117" s="26"/>
      <c r="LJ117" s="26"/>
      <c r="LK117" s="26"/>
      <c r="LL117" s="26"/>
      <c r="LM117" s="26"/>
      <c r="LN117" s="26"/>
      <c r="LO117" s="26"/>
      <c r="LP117" s="26"/>
      <c r="LQ117" s="26"/>
      <c r="LR117" s="26"/>
      <c r="LS117" s="26"/>
      <c r="LT117" s="26"/>
      <c r="LU117" s="26"/>
      <c r="LV117" s="26"/>
      <c r="LW117" s="26"/>
      <c r="LX117" s="26"/>
      <c r="LY117" s="26"/>
      <c r="LZ117" s="26"/>
      <c r="MA117" s="26"/>
      <c r="MB117" s="26"/>
      <c r="MC117" s="26"/>
      <c r="MD117" s="26"/>
      <c r="ME117" s="26"/>
      <c r="MF117" s="26"/>
      <c r="MG117" s="26"/>
      <c r="MH117" s="26"/>
      <c r="MI117" s="26"/>
      <c r="MJ117" s="26"/>
      <c r="MK117" s="26"/>
      <c r="ML117" s="26"/>
      <c r="MM117" s="26"/>
      <c r="MN117" s="26"/>
      <c r="MO117" s="26"/>
      <c r="MP117" s="26"/>
      <c r="MQ117" s="26"/>
      <c r="MR117" s="26"/>
      <c r="MS117" s="23"/>
      <c r="MT117" s="26"/>
      <c r="MU117" s="26"/>
      <c r="MV117" s="26"/>
      <c r="MW117" s="26"/>
      <c r="MX117" s="26"/>
      <c r="MY117" s="26"/>
      <c r="MZ117" s="26"/>
      <c r="NA117" s="26"/>
      <c r="NB117" s="26"/>
      <c r="NC117" s="26"/>
      <c r="ND117" s="26"/>
      <c r="NE117" s="26"/>
      <c r="NF117" s="26"/>
      <c r="NG117" s="26"/>
      <c r="NH117" s="26"/>
      <c r="NI117" s="26"/>
      <c r="NJ117" s="26"/>
      <c r="NK117" s="26"/>
      <c r="NL117" s="26"/>
      <c r="NM117" s="26"/>
      <c r="NN117" s="26"/>
      <c r="NO117" s="26"/>
      <c r="NP117" s="26"/>
      <c r="NQ117" s="26"/>
      <c r="NR117" s="26"/>
      <c r="NS117" s="26"/>
      <c r="NT117" s="26"/>
      <c r="NU117" s="26"/>
      <c r="NV117" s="26"/>
      <c r="NW117" s="26"/>
      <c r="NX117" s="26"/>
      <c r="NY117" s="26"/>
      <c r="NZ117" s="26"/>
      <c r="OA117" s="26"/>
      <c r="OB117" s="26"/>
      <c r="OC117" s="26"/>
      <c r="OD117" s="26"/>
      <c r="OE117" s="26"/>
      <c r="OF117" s="23"/>
      <c r="OG117" s="26"/>
      <c r="OH117" s="26"/>
      <c r="OI117" s="26"/>
      <c r="OJ117" s="26"/>
      <c r="OK117" s="26"/>
      <c r="OL117" s="26"/>
      <c r="OM117" s="26"/>
      <c r="ON117" s="26"/>
      <c r="OO117" s="26"/>
      <c r="OP117" s="26"/>
      <c r="OQ117" s="26"/>
      <c r="OR117" s="26"/>
      <c r="OS117" s="26"/>
      <c r="OT117" s="26"/>
      <c r="OU117" s="26"/>
      <c r="OV117" s="26"/>
      <c r="OW117" s="26"/>
      <c r="OX117" s="26"/>
      <c r="OY117" s="26"/>
      <c r="OZ117" s="26"/>
      <c r="PA117" s="26"/>
      <c r="PB117" s="26"/>
      <c r="PC117" s="26"/>
      <c r="PD117" s="26"/>
      <c r="PE117" s="26"/>
      <c r="PF117" s="26"/>
      <c r="PG117" s="26"/>
      <c r="PH117" s="26"/>
      <c r="PI117" s="26"/>
      <c r="PJ117" s="26"/>
      <c r="PK117" s="26"/>
      <c r="PL117" s="26"/>
      <c r="PM117" s="26"/>
      <c r="PN117" s="26"/>
      <c r="PO117" s="26"/>
      <c r="PP117" s="26"/>
      <c r="PQ117" s="26"/>
      <c r="PR117" s="26"/>
    </row>
    <row r="118" spans="1:434" x14ac:dyDescent="0.25">
      <c r="A118" s="24"/>
      <c r="B118" s="25" t="s">
        <v>185</v>
      </c>
      <c r="C118" s="24" t="s">
        <v>70</v>
      </c>
      <c r="D118" s="24" t="s">
        <v>67</v>
      </c>
      <c r="E118" s="24"/>
      <c r="F118" s="23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3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3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23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3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3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3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6"/>
      <c r="JO118" s="26"/>
      <c r="JP118" s="26"/>
      <c r="JQ118" s="26"/>
      <c r="JR118" s="26"/>
      <c r="JS118" s="23"/>
      <c r="JT118" s="26"/>
      <c r="JU118" s="26"/>
      <c r="JV118" s="26"/>
      <c r="JW118" s="26"/>
      <c r="JX118" s="26"/>
      <c r="JY118" s="26"/>
      <c r="JZ118" s="26"/>
      <c r="KA118" s="26"/>
      <c r="KB118" s="26"/>
      <c r="KC118" s="26"/>
      <c r="KD118" s="26"/>
      <c r="KE118" s="26"/>
      <c r="KF118" s="26"/>
      <c r="KG118" s="26"/>
      <c r="KH118" s="26"/>
      <c r="KI118" s="26"/>
      <c r="KJ118" s="26"/>
      <c r="KK118" s="26"/>
      <c r="KL118" s="26"/>
      <c r="KM118" s="26"/>
      <c r="KN118" s="26"/>
      <c r="KO118" s="26"/>
      <c r="KP118" s="26"/>
      <c r="KQ118" s="26"/>
      <c r="KR118" s="26"/>
      <c r="KS118" s="26"/>
      <c r="KT118" s="26"/>
      <c r="KU118" s="26"/>
      <c r="KV118" s="26"/>
      <c r="KW118" s="26"/>
      <c r="KX118" s="26"/>
      <c r="KY118" s="26"/>
      <c r="KZ118" s="26"/>
      <c r="LA118" s="26"/>
      <c r="LB118" s="26"/>
      <c r="LC118" s="26"/>
      <c r="LD118" s="26"/>
      <c r="LE118" s="26"/>
      <c r="LF118" s="23"/>
      <c r="LG118" s="26"/>
      <c r="LH118" s="26"/>
      <c r="LI118" s="26"/>
      <c r="LJ118" s="26"/>
      <c r="LK118" s="26"/>
      <c r="LL118" s="26"/>
      <c r="LM118" s="26"/>
      <c r="LN118" s="26"/>
      <c r="LO118" s="26"/>
      <c r="LP118" s="26"/>
      <c r="LQ118" s="26"/>
      <c r="LR118" s="26"/>
      <c r="LS118" s="26"/>
      <c r="LT118" s="26"/>
      <c r="LU118" s="26"/>
      <c r="LV118" s="26"/>
      <c r="LW118" s="26"/>
      <c r="LX118" s="26"/>
      <c r="LY118" s="26"/>
      <c r="LZ118" s="26"/>
      <c r="MA118" s="26"/>
      <c r="MB118" s="26"/>
      <c r="MC118" s="26"/>
      <c r="MD118" s="26"/>
      <c r="ME118" s="26"/>
      <c r="MF118" s="26"/>
      <c r="MG118" s="26"/>
      <c r="MH118" s="26"/>
      <c r="MI118" s="26"/>
      <c r="MJ118" s="26"/>
      <c r="MK118" s="26"/>
      <c r="ML118" s="26"/>
      <c r="MM118" s="26"/>
      <c r="MN118" s="26"/>
      <c r="MO118" s="26"/>
      <c r="MP118" s="26"/>
      <c r="MQ118" s="26"/>
      <c r="MR118" s="26"/>
      <c r="MS118" s="23"/>
      <c r="MT118" s="26"/>
      <c r="MU118" s="26"/>
      <c r="MV118" s="26"/>
      <c r="MW118" s="26"/>
      <c r="MX118" s="26"/>
      <c r="MY118" s="26"/>
      <c r="MZ118" s="26"/>
      <c r="NA118" s="26"/>
      <c r="NB118" s="26"/>
      <c r="NC118" s="26"/>
      <c r="ND118" s="26"/>
      <c r="NE118" s="26"/>
      <c r="NF118" s="26"/>
      <c r="NG118" s="26"/>
      <c r="NH118" s="26"/>
      <c r="NI118" s="26"/>
      <c r="NJ118" s="26"/>
      <c r="NK118" s="26"/>
      <c r="NL118" s="26"/>
      <c r="NM118" s="26"/>
      <c r="NN118" s="26"/>
      <c r="NO118" s="26"/>
      <c r="NP118" s="26"/>
      <c r="NQ118" s="26"/>
      <c r="NR118" s="26"/>
      <c r="NS118" s="26"/>
      <c r="NT118" s="26"/>
      <c r="NU118" s="26"/>
      <c r="NV118" s="26"/>
      <c r="NW118" s="26"/>
      <c r="NX118" s="26"/>
      <c r="NY118" s="26"/>
      <c r="NZ118" s="26"/>
      <c r="OA118" s="26"/>
      <c r="OB118" s="26"/>
      <c r="OC118" s="26"/>
      <c r="OD118" s="26"/>
      <c r="OE118" s="26"/>
      <c r="OF118" s="23"/>
      <c r="OG118" s="26"/>
      <c r="OH118" s="26"/>
      <c r="OI118" s="26"/>
      <c r="OJ118" s="26"/>
      <c r="OK118" s="26"/>
      <c r="OL118" s="26"/>
      <c r="OM118" s="26"/>
      <c r="ON118" s="26"/>
      <c r="OO118" s="26"/>
      <c r="OP118" s="26"/>
      <c r="OQ118" s="26"/>
      <c r="OR118" s="26"/>
      <c r="OS118" s="26"/>
      <c r="OT118" s="26"/>
      <c r="OU118" s="26"/>
      <c r="OV118" s="26"/>
      <c r="OW118" s="26"/>
      <c r="OX118" s="26"/>
      <c r="OY118" s="26"/>
      <c r="OZ118" s="26"/>
      <c r="PA118" s="26"/>
      <c r="PB118" s="26"/>
      <c r="PC118" s="26"/>
      <c r="PD118" s="26"/>
      <c r="PE118" s="26"/>
      <c r="PF118" s="26"/>
      <c r="PG118" s="26"/>
      <c r="PH118" s="26"/>
      <c r="PI118" s="26"/>
      <c r="PJ118" s="26"/>
      <c r="PK118" s="26"/>
      <c r="PL118" s="26"/>
      <c r="PM118" s="26"/>
      <c r="PN118" s="26"/>
      <c r="PO118" s="26"/>
      <c r="PP118" s="26"/>
      <c r="PQ118" s="26"/>
      <c r="PR118" s="26"/>
    </row>
    <row r="119" spans="1:434" x14ac:dyDescent="0.25">
      <c r="A119" s="24"/>
      <c r="B119" s="25" t="s">
        <v>186</v>
      </c>
      <c r="C119" s="24" t="s">
        <v>70</v>
      </c>
      <c r="D119" s="24" t="s">
        <v>67</v>
      </c>
      <c r="E119" s="24"/>
      <c r="F119" s="23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3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3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23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3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3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3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3"/>
      <c r="JT119" s="26"/>
      <c r="JU119" s="26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  <c r="KO119" s="26"/>
      <c r="KP119" s="26"/>
      <c r="KQ119" s="26"/>
      <c r="KR119" s="26"/>
      <c r="KS119" s="26"/>
      <c r="KT119" s="26"/>
      <c r="KU119" s="26"/>
      <c r="KV119" s="26"/>
      <c r="KW119" s="26"/>
      <c r="KX119" s="26"/>
      <c r="KY119" s="26"/>
      <c r="KZ119" s="26"/>
      <c r="LA119" s="26"/>
      <c r="LB119" s="26"/>
      <c r="LC119" s="26"/>
      <c r="LD119" s="26"/>
      <c r="LE119" s="26"/>
      <c r="LF119" s="23"/>
      <c r="LG119" s="26"/>
      <c r="LH119" s="26"/>
      <c r="LI119" s="26"/>
      <c r="LJ119" s="26"/>
      <c r="LK119" s="26"/>
      <c r="LL119" s="26"/>
      <c r="LM119" s="26"/>
      <c r="LN119" s="26"/>
      <c r="LO119" s="26"/>
      <c r="LP119" s="26"/>
      <c r="LQ119" s="26"/>
      <c r="LR119" s="26"/>
      <c r="LS119" s="26"/>
      <c r="LT119" s="26"/>
      <c r="LU119" s="26"/>
      <c r="LV119" s="26"/>
      <c r="LW119" s="26"/>
      <c r="LX119" s="26"/>
      <c r="LY119" s="26"/>
      <c r="LZ119" s="26"/>
      <c r="MA119" s="26"/>
      <c r="MB119" s="26"/>
      <c r="MC119" s="26"/>
      <c r="MD119" s="26"/>
      <c r="ME119" s="26"/>
      <c r="MF119" s="26"/>
      <c r="MG119" s="26"/>
      <c r="MH119" s="26"/>
      <c r="MI119" s="26"/>
      <c r="MJ119" s="26"/>
      <c r="MK119" s="26"/>
      <c r="ML119" s="26"/>
      <c r="MM119" s="26"/>
      <c r="MN119" s="26"/>
      <c r="MO119" s="26"/>
      <c r="MP119" s="26"/>
      <c r="MQ119" s="26"/>
      <c r="MR119" s="26"/>
      <c r="MS119" s="23"/>
      <c r="MT119" s="26"/>
      <c r="MU119" s="26"/>
      <c r="MV119" s="26"/>
      <c r="MW119" s="26"/>
      <c r="MX119" s="26"/>
      <c r="MY119" s="26"/>
      <c r="MZ119" s="26"/>
      <c r="NA119" s="26"/>
      <c r="NB119" s="26"/>
      <c r="NC119" s="26"/>
      <c r="ND119" s="26"/>
      <c r="NE119" s="26"/>
      <c r="NF119" s="26"/>
      <c r="NG119" s="26"/>
      <c r="NH119" s="26"/>
      <c r="NI119" s="26"/>
      <c r="NJ119" s="26"/>
      <c r="NK119" s="26"/>
      <c r="NL119" s="26"/>
      <c r="NM119" s="26"/>
      <c r="NN119" s="26"/>
      <c r="NO119" s="26"/>
      <c r="NP119" s="26"/>
      <c r="NQ119" s="26"/>
      <c r="NR119" s="26"/>
      <c r="NS119" s="26"/>
      <c r="NT119" s="26"/>
      <c r="NU119" s="26"/>
      <c r="NV119" s="26"/>
      <c r="NW119" s="26"/>
      <c r="NX119" s="26"/>
      <c r="NY119" s="26"/>
      <c r="NZ119" s="26"/>
      <c r="OA119" s="26"/>
      <c r="OB119" s="26"/>
      <c r="OC119" s="26"/>
      <c r="OD119" s="26"/>
      <c r="OE119" s="26"/>
      <c r="OF119" s="23"/>
      <c r="OG119" s="26"/>
      <c r="OH119" s="26"/>
      <c r="OI119" s="26"/>
      <c r="OJ119" s="26"/>
      <c r="OK119" s="26"/>
      <c r="OL119" s="26"/>
      <c r="OM119" s="26"/>
      <c r="ON119" s="26"/>
      <c r="OO119" s="26"/>
      <c r="OP119" s="26"/>
      <c r="OQ119" s="26"/>
      <c r="OR119" s="26"/>
      <c r="OS119" s="26"/>
      <c r="OT119" s="26"/>
      <c r="OU119" s="26"/>
      <c r="OV119" s="26"/>
      <c r="OW119" s="26"/>
      <c r="OX119" s="26"/>
      <c r="OY119" s="26"/>
      <c r="OZ119" s="26"/>
      <c r="PA119" s="26"/>
      <c r="PB119" s="26"/>
      <c r="PC119" s="26"/>
      <c r="PD119" s="26"/>
      <c r="PE119" s="26"/>
      <c r="PF119" s="26"/>
      <c r="PG119" s="26"/>
      <c r="PH119" s="26"/>
      <c r="PI119" s="26"/>
      <c r="PJ119" s="26"/>
      <c r="PK119" s="26"/>
      <c r="PL119" s="26"/>
      <c r="PM119" s="26"/>
      <c r="PN119" s="26"/>
      <c r="PO119" s="26"/>
      <c r="PP119" s="26"/>
      <c r="PQ119" s="26"/>
      <c r="PR119" s="26"/>
    </row>
    <row r="120" spans="1:434" x14ac:dyDescent="0.25">
      <c r="A120" s="24"/>
      <c r="B120" s="25" t="s">
        <v>187</v>
      </c>
      <c r="C120" s="24" t="s">
        <v>70</v>
      </c>
      <c r="D120" s="24" t="s">
        <v>67</v>
      </c>
      <c r="E120" s="24"/>
      <c r="F120" s="23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3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3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23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3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3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3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3"/>
      <c r="JT120" s="26"/>
      <c r="JU120" s="26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  <c r="KO120" s="26"/>
      <c r="KP120" s="26"/>
      <c r="KQ120" s="26"/>
      <c r="KR120" s="26"/>
      <c r="KS120" s="26"/>
      <c r="KT120" s="26"/>
      <c r="KU120" s="26"/>
      <c r="KV120" s="26"/>
      <c r="KW120" s="26"/>
      <c r="KX120" s="26"/>
      <c r="KY120" s="26"/>
      <c r="KZ120" s="26"/>
      <c r="LA120" s="26"/>
      <c r="LB120" s="26"/>
      <c r="LC120" s="26"/>
      <c r="LD120" s="26"/>
      <c r="LE120" s="26"/>
      <c r="LF120" s="23"/>
      <c r="LG120" s="26"/>
      <c r="LH120" s="26"/>
      <c r="LI120" s="26"/>
      <c r="LJ120" s="26"/>
      <c r="LK120" s="26"/>
      <c r="LL120" s="26"/>
      <c r="LM120" s="26"/>
      <c r="LN120" s="26"/>
      <c r="LO120" s="26"/>
      <c r="LP120" s="26"/>
      <c r="LQ120" s="26"/>
      <c r="LR120" s="26"/>
      <c r="LS120" s="26"/>
      <c r="LT120" s="26"/>
      <c r="LU120" s="26"/>
      <c r="LV120" s="26"/>
      <c r="LW120" s="26"/>
      <c r="LX120" s="26"/>
      <c r="LY120" s="26"/>
      <c r="LZ120" s="26"/>
      <c r="MA120" s="26"/>
      <c r="MB120" s="26"/>
      <c r="MC120" s="26"/>
      <c r="MD120" s="26"/>
      <c r="ME120" s="26"/>
      <c r="MF120" s="26"/>
      <c r="MG120" s="26"/>
      <c r="MH120" s="26"/>
      <c r="MI120" s="26"/>
      <c r="MJ120" s="26"/>
      <c r="MK120" s="26"/>
      <c r="ML120" s="26"/>
      <c r="MM120" s="26"/>
      <c r="MN120" s="26"/>
      <c r="MO120" s="26"/>
      <c r="MP120" s="26"/>
      <c r="MQ120" s="26"/>
      <c r="MR120" s="26"/>
      <c r="MS120" s="23"/>
      <c r="MT120" s="26"/>
      <c r="MU120" s="26"/>
      <c r="MV120" s="26"/>
      <c r="MW120" s="26"/>
      <c r="MX120" s="26"/>
      <c r="MY120" s="26"/>
      <c r="MZ120" s="26"/>
      <c r="NA120" s="26"/>
      <c r="NB120" s="26"/>
      <c r="NC120" s="26"/>
      <c r="ND120" s="26"/>
      <c r="NE120" s="26"/>
      <c r="NF120" s="26"/>
      <c r="NG120" s="26"/>
      <c r="NH120" s="26"/>
      <c r="NI120" s="26"/>
      <c r="NJ120" s="26"/>
      <c r="NK120" s="26"/>
      <c r="NL120" s="26"/>
      <c r="NM120" s="26"/>
      <c r="NN120" s="26"/>
      <c r="NO120" s="26"/>
      <c r="NP120" s="26"/>
      <c r="NQ120" s="26"/>
      <c r="NR120" s="26"/>
      <c r="NS120" s="26"/>
      <c r="NT120" s="26"/>
      <c r="NU120" s="26"/>
      <c r="NV120" s="26"/>
      <c r="NW120" s="26"/>
      <c r="NX120" s="26"/>
      <c r="NY120" s="26"/>
      <c r="NZ120" s="26"/>
      <c r="OA120" s="26"/>
      <c r="OB120" s="26"/>
      <c r="OC120" s="26"/>
      <c r="OD120" s="26"/>
      <c r="OE120" s="26"/>
      <c r="OF120" s="23"/>
      <c r="OG120" s="26"/>
      <c r="OH120" s="26"/>
      <c r="OI120" s="26"/>
      <c r="OJ120" s="26"/>
      <c r="OK120" s="26"/>
      <c r="OL120" s="26"/>
      <c r="OM120" s="26"/>
      <c r="ON120" s="26"/>
      <c r="OO120" s="26"/>
      <c r="OP120" s="26"/>
      <c r="OQ120" s="26"/>
      <c r="OR120" s="26"/>
      <c r="OS120" s="26"/>
      <c r="OT120" s="26"/>
      <c r="OU120" s="26"/>
      <c r="OV120" s="26"/>
      <c r="OW120" s="26"/>
      <c r="OX120" s="26"/>
      <c r="OY120" s="26"/>
      <c r="OZ120" s="26"/>
      <c r="PA120" s="26"/>
      <c r="PB120" s="26"/>
      <c r="PC120" s="26"/>
      <c r="PD120" s="26"/>
      <c r="PE120" s="26"/>
      <c r="PF120" s="26"/>
      <c r="PG120" s="26"/>
      <c r="PH120" s="26"/>
      <c r="PI120" s="26"/>
      <c r="PJ120" s="26"/>
      <c r="PK120" s="26"/>
      <c r="PL120" s="26"/>
      <c r="PM120" s="26"/>
      <c r="PN120" s="26"/>
      <c r="PO120" s="26"/>
      <c r="PP120" s="26"/>
      <c r="PQ120" s="26"/>
      <c r="PR120" s="26"/>
    </row>
    <row r="121" spans="1:434" x14ac:dyDescent="0.25">
      <c r="A121" s="24"/>
      <c r="B121" s="25" t="s">
        <v>188</v>
      </c>
      <c r="C121" s="24" t="s">
        <v>70</v>
      </c>
      <c r="D121" s="24" t="s">
        <v>67</v>
      </c>
      <c r="E121" s="24"/>
      <c r="F121" s="23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3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3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23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3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3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3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3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6"/>
      <c r="KR121" s="26"/>
      <c r="KS121" s="26"/>
      <c r="KT121" s="26"/>
      <c r="KU121" s="26"/>
      <c r="KV121" s="26"/>
      <c r="KW121" s="26"/>
      <c r="KX121" s="26"/>
      <c r="KY121" s="26"/>
      <c r="KZ121" s="26"/>
      <c r="LA121" s="26"/>
      <c r="LB121" s="26"/>
      <c r="LC121" s="26"/>
      <c r="LD121" s="26"/>
      <c r="LE121" s="26"/>
      <c r="LF121" s="23"/>
      <c r="LG121" s="26"/>
      <c r="LH121" s="26"/>
      <c r="LI121" s="26"/>
      <c r="LJ121" s="26"/>
      <c r="LK121" s="26"/>
      <c r="LL121" s="26"/>
      <c r="LM121" s="26"/>
      <c r="LN121" s="26"/>
      <c r="LO121" s="26"/>
      <c r="LP121" s="26"/>
      <c r="LQ121" s="26"/>
      <c r="LR121" s="26"/>
      <c r="LS121" s="26"/>
      <c r="LT121" s="26"/>
      <c r="LU121" s="26"/>
      <c r="LV121" s="26"/>
      <c r="LW121" s="26"/>
      <c r="LX121" s="26"/>
      <c r="LY121" s="26"/>
      <c r="LZ121" s="26"/>
      <c r="MA121" s="26"/>
      <c r="MB121" s="26"/>
      <c r="MC121" s="26"/>
      <c r="MD121" s="26"/>
      <c r="ME121" s="26"/>
      <c r="MF121" s="26"/>
      <c r="MG121" s="26"/>
      <c r="MH121" s="26"/>
      <c r="MI121" s="26"/>
      <c r="MJ121" s="26"/>
      <c r="MK121" s="26"/>
      <c r="ML121" s="26"/>
      <c r="MM121" s="26"/>
      <c r="MN121" s="26"/>
      <c r="MO121" s="26"/>
      <c r="MP121" s="26"/>
      <c r="MQ121" s="26"/>
      <c r="MR121" s="26"/>
      <c r="MS121" s="23"/>
      <c r="MT121" s="26"/>
      <c r="MU121" s="26"/>
      <c r="MV121" s="26"/>
      <c r="MW121" s="26"/>
      <c r="MX121" s="26"/>
      <c r="MY121" s="26"/>
      <c r="MZ121" s="26"/>
      <c r="NA121" s="26"/>
      <c r="NB121" s="26"/>
      <c r="NC121" s="26"/>
      <c r="ND121" s="26"/>
      <c r="NE121" s="26"/>
      <c r="NF121" s="26"/>
      <c r="NG121" s="26"/>
      <c r="NH121" s="26"/>
      <c r="NI121" s="26"/>
      <c r="NJ121" s="26"/>
      <c r="NK121" s="26"/>
      <c r="NL121" s="26"/>
      <c r="NM121" s="26"/>
      <c r="NN121" s="26"/>
      <c r="NO121" s="26"/>
      <c r="NP121" s="26"/>
      <c r="NQ121" s="26"/>
      <c r="NR121" s="26"/>
      <c r="NS121" s="26"/>
      <c r="NT121" s="26"/>
      <c r="NU121" s="26"/>
      <c r="NV121" s="26"/>
      <c r="NW121" s="26"/>
      <c r="NX121" s="26"/>
      <c r="NY121" s="26"/>
      <c r="NZ121" s="26"/>
      <c r="OA121" s="26"/>
      <c r="OB121" s="26"/>
      <c r="OC121" s="26"/>
      <c r="OD121" s="26"/>
      <c r="OE121" s="26"/>
      <c r="OF121" s="23"/>
      <c r="OG121" s="26"/>
      <c r="OH121" s="26"/>
      <c r="OI121" s="26"/>
      <c r="OJ121" s="26"/>
      <c r="OK121" s="26"/>
      <c r="OL121" s="26"/>
      <c r="OM121" s="26"/>
      <c r="ON121" s="26"/>
      <c r="OO121" s="26"/>
      <c r="OP121" s="26"/>
      <c r="OQ121" s="26"/>
      <c r="OR121" s="26"/>
      <c r="OS121" s="26"/>
      <c r="OT121" s="26"/>
      <c r="OU121" s="26"/>
      <c r="OV121" s="26"/>
      <c r="OW121" s="26"/>
      <c r="OX121" s="26"/>
      <c r="OY121" s="26"/>
      <c r="OZ121" s="26"/>
      <c r="PA121" s="26"/>
      <c r="PB121" s="26"/>
      <c r="PC121" s="26"/>
      <c r="PD121" s="26"/>
      <c r="PE121" s="26"/>
      <c r="PF121" s="26"/>
      <c r="PG121" s="26"/>
      <c r="PH121" s="26"/>
      <c r="PI121" s="26"/>
      <c r="PJ121" s="26"/>
      <c r="PK121" s="26"/>
      <c r="PL121" s="26"/>
      <c r="PM121" s="26"/>
      <c r="PN121" s="26"/>
      <c r="PO121" s="26"/>
      <c r="PP121" s="26"/>
      <c r="PQ121" s="26"/>
      <c r="PR121" s="26"/>
    </row>
    <row r="122" spans="1:434" x14ac:dyDescent="0.25">
      <c r="A122" s="24"/>
      <c r="B122" s="25" t="s">
        <v>189</v>
      </c>
      <c r="C122" s="24" t="s">
        <v>70</v>
      </c>
      <c r="D122" s="24" t="s">
        <v>67</v>
      </c>
      <c r="E122" s="24"/>
      <c r="F122" s="23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3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3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23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3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3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3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3"/>
      <c r="JT122" s="26"/>
      <c r="JU122" s="26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  <c r="KO122" s="26"/>
      <c r="KP122" s="26"/>
      <c r="KQ122" s="26"/>
      <c r="KR122" s="26"/>
      <c r="KS122" s="26"/>
      <c r="KT122" s="26"/>
      <c r="KU122" s="26"/>
      <c r="KV122" s="26"/>
      <c r="KW122" s="26"/>
      <c r="KX122" s="26"/>
      <c r="KY122" s="26"/>
      <c r="KZ122" s="26"/>
      <c r="LA122" s="26"/>
      <c r="LB122" s="26"/>
      <c r="LC122" s="26"/>
      <c r="LD122" s="26"/>
      <c r="LE122" s="26"/>
      <c r="LF122" s="23"/>
      <c r="LG122" s="26"/>
      <c r="LH122" s="26"/>
      <c r="LI122" s="26"/>
      <c r="LJ122" s="26"/>
      <c r="LK122" s="26"/>
      <c r="LL122" s="26"/>
      <c r="LM122" s="26"/>
      <c r="LN122" s="26"/>
      <c r="LO122" s="26"/>
      <c r="LP122" s="26"/>
      <c r="LQ122" s="26"/>
      <c r="LR122" s="26"/>
      <c r="LS122" s="26"/>
      <c r="LT122" s="26"/>
      <c r="LU122" s="26"/>
      <c r="LV122" s="26"/>
      <c r="LW122" s="26"/>
      <c r="LX122" s="26"/>
      <c r="LY122" s="26"/>
      <c r="LZ122" s="26"/>
      <c r="MA122" s="26"/>
      <c r="MB122" s="26"/>
      <c r="MC122" s="26"/>
      <c r="MD122" s="26"/>
      <c r="ME122" s="26"/>
      <c r="MF122" s="26"/>
      <c r="MG122" s="26"/>
      <c r="MH122" s="26"/>
      <c r="MI122" s="26"/>
      <c r="MJ122" s="26"/>
      <c r="MK122" s="26"/>
      <c r="ML122" s="26"/>
      <c r="MM122" s="26"/>
      <c r="MN122" s="26"/>
      <c r="MO122" s="26"/>
      <c r="MP122" s="26"/>
      <c r="MQ122" s="26"/>
      <c r="MR122" s="26"/>
      <c r="MS122" s="23"/>
      <c r="MT122" s="26"/>
      <c r="MU122" s="26"/>
      <c r="MV122" s="26"/>
      <c r="MW122" s="26"/>
      <c r="MX122" s="26"/>
      <c r="MY122" s="26"/>
      <c r="MZ122" s="26"/>
      <c r="NA122" s="26"/>
      <c r="NB122" s="26"/>
      <c r="NC122" s="26"/>
      <c r="ND122" s="26"/>
      <c r="NE122" s="26"/>
      <c r="NF122" s="26"/>
      <c r="NG122" s="26"/>
      <c r="NH122" s="26"/>
      <c r="NI122" s="26"/>
      <c r="NJ122" s="26"/>
      <c r="NK122" s="26"/>
      <c r="NL122" s="26"/>
      <c r="NM122" s="26"/>
      <c r="NN122" s="26"/>
      <c r="NO122" s="26"/>
      <c r="NP122" s="26"/>
      <c r="NQ122" s="26"/>
      <c r="NR122" s="26"/>
      <c r="NS122" s="26"/>
      <c r="NT122" s="26"/>
      <c r="NU122" s="26"/>
      <c r="NV122" s="26"/>
      <c r="NW122" s="26"/>
      <c r="NX122" s="26"/>
      <c r="NY122" s="26"/>
      <c r="NZ122" s="26"/>
      <c r="OA122" s="26"/>
      <c r="OB122" s="26"/>
      <c r="OC122" s="26"/>
      <c r="OD122" s="26"/>
      <c r="OE122" s="26"/>
      <c r="OF122" s="23"/>
      <c r="OG122" s="26"/>
      <c r="OH122" s="26"/>
      <c r="OI122" s="26"/>
      <c r="OJ122" s="26"/>
      <c r="OK122" s="26"/>
      <c r="OL122" s="26"/>
      <c r="OM122" s="26"/>
      <c r="ON122" s="26"/>
      <c r="OO122" s="26"/>
      <c r="OP122" s="26"/>
      <c r="OQ122" s="26"/>
      <c r="OR122" s="26"/>
      <c r="OS122" s="26"/>
      <c r="OT122" s="26"/>
      <c r="OU122" s="26"/>
      <c r="OV122" s="26"/>
      <c r="OW122" s="26"/>
      <c r="OX122" s="26"/>
      <c r="OY122" s="26"/>
      <c r="OZ122" s="26"/>
      <c r="PA122" s="26"/>
      <c r="PB122" s="26"/>
      <c r="PC122" s="26"/>
      <c r="PD122" s="26"/>
      <c r="PE122" s="26"/>
      <c r="PF122" s="26"/>
      <c r="PG122" s="26"/>
      <c r="PH122" s="26"/>
      <c r="PI122" s="26"/>
      <c r="PJ122" s="26"/>
      <c r="PK122" s="26"/>
      <c r="PL122" s="26"/>
      <c r="PM122" s="26"/>
      <c r="PN122" s="26"/>
      <c r="PO122" s="26"/>
      <c r="PP122" s="26"/>
      <c r="PQ122" s="26"/>
      <c r="PR122" s="26"/>
    </row>
    <row r="123" spans="1:434" x14ac:dyDescent="0.25">
      <c r="A123" s="24"/>
      <c r="B123" s="25" t="s">
        <v>190</v>
      </c>
      <c r="C123" s="24" t="s">
        <v>66</v>
      </c>
      <c r="D123" s="24" t="s">
        <v>67</v>
      </c>
      <c r="E123" s="24"/>
      <c r="F123" s="23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3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3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23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3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3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3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3"/>
      <c r="JT123" s="26"/>
      <c r="JU123" s="26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  <c r="KO123" s="26"/>
      <c r="KP123" s="26"/>
      <c r="KQ123" s="26"/>
      <c r="KR123" s="26"/>
      <c r="KS123" s="26"/>
      <c r="KT123" s="26"/>
      <c r="KU123" s="26"/>
      <c r="KV123" s="26"/>
      <c r="KW123" s="26"/>
      <c r="KX123" s="26"/>
      <c r="KY123" s="26"/>
      <c r="KZ123" s="26"/>
      <c r="LA123" s="26"/>
      <c r="LB123" s="26"/>
      <c r="LC123" s="26"/>
      <c r="LD123" s="26"/>
      <c r="LE123" s="26"/>
      <c r="LF123" s="23"/>
      <c r="LG123" s="26"/>
      <c r="LH123" s="26"/>
      <c r="LI123" s="26"/>
      <c r="LJ123" s="26"/>
      <c r="LK123" s="26"/>
      <c r="LL123" s="26"/>
      <c r="LM123" s="26"/>
      <c r="LN123" s="26"/>
      <c r="LO123" s="26"/>
      <c r="LP123" s="26"/>
      <c r="LQ123" s="26"/>
      <c r="LR123" s="26"/>
      <c r="LS123" s="26"/>
      <c r="LT123" s="26"/>
      <c r="LU123" s="26"/>
      <c r="LV123" s="26"/>
      <c r="LW123" s="26"/>
      <c r="LX123" s="26"/>
      <c r="LY123" s="26"/>
      <c r="LZ123" s="26"/>
      <c r="MA123" s="26"/>
      <c r="MB123" s="26"/>
      <c r="MC123" s="26"/>
      <c r="MD123" s="26"/>
      <c r="ME123" s="26"/>
      <c r="MF123" s="26"/>
      <c r="MG123" s="26"/>
      <c r="MH123" s="26"/>
      <c r="MI123" s="26"/>
      <c r="MJ123" s="26"/>
      <c r="MK123" s="26"/>
      <c r="ML123" s="26"/>
      <c r="MM123" s="26"/>
      <c r="MN123" s="26"/>
      <c r="MO123" s="26"/>
      <c r="MP123" s="26"/>
      <c r="MQ123" s="26"/>
      <c r="MR123" s="26"/>
      <c r="MS123" s="23"/>
      <c r="MT123" s="26"/>
      <c r="MU123" s="26"/>
      <c r="MV123" s="26"/>
      <c r="MW123" s="26"/>
      <c r="MX123" s="26"/>
      <c r="MY123" s="26"/>
      <c r="MZ123" s="26"/>
      <c r="NA123" s="26"/>
      <c r="NB123" s="26"/>
      <c r="NC123" s="26"/>
      <c r="ND123" s="26"/>
      <c r="NE123" s="26"/>
      <c r="NF123" s="26"/>
      <c r="NG123" s="26"/>
      <c r="NH123" s="26"/>
      <c r="NI123" s="26"/>
      <c r="NJ123" s="26"/>
      <c r="NK123" s="26"/>
      <c r="NL123" s="26"/>
      <c r="NM123" s="26"/>
      <c r="NN123" s="26"/>
      <c r="NO123" s="26"/>
      <c r="NP123" s="26"/>
      <c r="NQ123" s="26"/>
      <c r="NR123" s="26"/>
      <c r="NS123" s="26"/>
      <c r="NT123" s="26"/>
      <c r="NU123" s="26"/>
      <c r="NV123" s="26"/>
      <c r="NW123" s="26"/>
      <c r="NX123" s="26"/>
      <c r="NY123" s="26"/>
      <c r="NZ123" s="26"/>
      <c r="OA123" s="26"/>
      <c r="OB123" s="26"/>
      <c r="OC123" s="26"/>
      <c r="OD123" s="26"/>
      <c r="OE123" s="26"/>
      <c r="OF123" s="23"/>
      <c r="OG123" s="26"/>
      <c r="OH123" s="26"/>
      <c r="OI123" s="26"/>
      <c r="OJ123" s="26"/>
      <c r="OK123" s="26"/>
      <c r="OL123" s="26"/>
      <c r="OM123" s="26"/>
      <c r="ON123" s="26"/>
      <c r="OO123" s="26"/>
      <c r="OP123" s="26"/>
      <c r="OQ123" s="26"/>
      <c r="OR123" s="26"/>
      <c r="OS123" s="26"/>
      <c r="OT123" s="26"/>
      <c r="OU123" s="26"/>
      <c r="OV123" s="26"/>
      <c r="OW123" s="26"/>
      <c r="OX123" s="26"/>
      <c r="OY123" s="26"/>
      <c r="OZ123" s="26"/>
      <c r="PA123" s="26"/>
      <c r="PB123" s="26"/>
      <c r="PC123" s="26"/>
      <c r="PD123" s="26"/>
      <c r="PE123" s="26"/>
      <c r="PF123" s="26"/>
      <c r="PG123" s="26"/>
      <c r="PH123" s="26"/>
      <c r="PI123" s="26"/>
      <c r="PJ123" s="26"/>
      <c r="PK123" s="26"/>
      <c r="PL123" s="26"/>
      <c r="PM123" s="26"/>
      <c r="PN123" s="26"/>
      <c r="PO123" s="26"/>
      <c r="PP123" s="26"/>
      <c r="PQ123" s="26"/>
      <c r="PR123" s="26"/>
    </row>
    <row r="124" spans="1:434" x14ac:dyDescent="0.25">
      <c r="A124" s="24"/>
      <c r="B124" s="25" t="s">
        <v>191</v>
      </c>
      <c r="C124" s="24" t="s">
        <v>70</v>
      </c>
      <c r="D124" s="24" t="s">
        <v>67</v>
      </c>
      <c r="E124" s="24"/>
      <c r="F124" s="23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3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3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23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3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3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3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3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6"/>
      <c r="KR124" s="26"/>
      <c r="KS124" s="26"/>
      <c r="KT124" s="26"/>
      <c r="KU124" s="26"/>
      <c r="KV124" s="26"/>
      <c r="KW124" s="26"/>
      <c r="KX124" s="26"/>
      <c r="KY124" s="26"/>
      <c r="KZ124" s="26"/>
      <c r="LA124" s="26"/>
      <c r="LB124" s="26"/>
      <c r="LC124" s="26"/>
      <c r="LD124" s="26"/>
      <c r="LE124" s="26"/>
      <c r="LF124" s="23"/>
      <c r="LG124" s="26"/>
      <c r="LH124" s="26"/>
      <c r="LI124" s="26"/>
      <c r="LJ124" s="26"/>
      <c r="LK124" s="26"/>
      <c r="LL124" s="26"/>
      <c r="LM124" s="26"/>
      <c r="LN124" s="26"/>
      <c r="LO124" s="26"/>
      <c r="LP124" s="26"/>
      <c r="LQ124" s="26"/>
      <c r="LR124" s="26"/>
      <c r="LS124" s="26"/>
      <c r="LT124" s="26"/>
      <c r="LU124" s="26"/>
      <c r="LV124" s="26"/>
      <c r="LW124" s="26"/>
      <c r="LX124" s="26"/>
      <c r="LY124" s="26"/>
      <c r="LZ124" s="26"/>
      <c r="MA124" s="26"/>
      <c r="MB124" s="26"/>
      <c r="MC124" s="26"/>
      <c r="MD124" s="26"/>
      <c r="ME124" s="26"/>
      <c r="MF124" s="26"/>
      <c r="MG124" s="26"/>
      <c r="MH124" s="26"/>
      <c r="MI124" s="26"/>
      <c r="MJ124" s="26"/>
      <c r="MK124" s="26"/>
      <c r="ML124" s="26"/>
      <c r="MM124" s="26"/>
      <c r="MN124" s="26"/>
      <c r="MO124" s="26"/>
      <c r="MP124" s="26"/>
      <c r="MQ124" s="26"/>
      <c r="MR124" s="26"/>
      <c r="MS124" s="23"/>
      <c r="MT124" s="26"/>
      <c r="MU124" s="26"/>
      <c r="MV124" s="26"/>
      <c r="MW124" s="26"/>
      <c r="MX124" s="26"/>
      <c r="MY124" s="26"/>
      <c r="MZ124" s="26"/>
      <c r="NA124" s="26"/>
      <c r="NB124" s="26"/>
      <c r="NC124" s="26"/>
      <c r="ND124" s="26"/>
      <c r="NE124" s="26"/>
      <c r="NF124" s="26"/>
      <c r="NG124" s="26"/>
      <c r="NH124" s="26"/>
      <c r="NI124" s="26"/>
      <c r="NJ124" s="26"/>
      <c r="NK124" s="26"/>
      <c r="NL124" s="26"/>
      <c r="NM124" s="26"/>
      <c r="NN124" s="26"/>
      <c r="NO124" s="26"/>
      <c r="NP124" s="26"/>
      <c r="NQ124" s="26"/>
      <c r="NR124" s="26"/>
      <c r="NS124" s="26"/>
      <c r="NT124" s="26"/>
      <c r="NU124" s="26"/>
      <c r="NV124" s="26"/>
      <c r="NW124" s="26"/>
      <c r="NX124" s="26"/>
      <c r="NY124" s="26"/>
      <c r="NZ124" s="26"/>
      <c r="OA124" s="26"/>
      <c r="OB124" s="26"/>
      <c r="OC124" s="26"/>
      <c r="OD124" s="26"/>
      <c r="OE124" s="26"/>
      <c r="OF124" s="23"/>
      <c r="OG124" s="26"/>
      <c r="OH124" s="26"/>
      <c r="OI124" s="26"/>
      <c r="OJ124" s="26"/>
      <c r="OK124" s="26"/>
      <c r="OL124" s="26"/>
      <c r="OM124" s="26"/>
      <c r="ON124" s="26"/>
      <c r="OO124" s="26"/>
      <c r="OP124" s="26"/>
      <c r="OQ124" s="26"/>
      <c r="OR124" s="26"/>
      <c r="OS124" s="26"/>
      <c r="OT124" s="26"/>
      <c r="OU124" s="26"/>
      <c r="OV124" s="26"/>
      <c r="OW124" s="26"/>
      <c r="OX124" s="26"/>
      <c r="OY124" s="26"/>
      <c r="OZ124" s="26"/>
      <c r="PA124" s="26"/>
      <c r="PB124" s="26"/>
      <c r="PC124" s="26"/>
      <c r="PD124" s="26"/>
      <c r="PE124" s="26"/>
      <c r="PF124" s="26"/>
      <c r="PG124" s="26"/>
      <c r="PH124" s="26"/>
      <c r="PI124" s="26"/>
      <c r="PJ124" s="26"/>
      <c r="PK124" s="26"/>
      <c r="PL124" s="26"/>
      <c r="PM124" s="26"/>
      <c r="PN124" s="26"/>
      <c r="PO124" s="26"/>
      <c r="PP124" s="26"/>
      <c r="PQ124" s="26"/>
      <c r="PR124" s="26"/>
    </row>
    <row r="125" spans="1:434" x14ac:dyDescent="0.25">
      <c r="A125" s="24"/>
      <c r="B125" s="25" t="s">
        <v>192</v>
      </c>
      <c r="C125" s="24" t="s">
        <v>70</v>
      </c>
      <c r="D125" s="24" t="s">
        <v>67</v>
      </c>
      <c r="E125" s="24"/>
      <c r="F125" s="23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3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3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23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3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3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3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6"/>
      <c r="JO125" s="26"/>
      <c r="JP125" s="26"/>
      <c r="JQ125" s="26"/>
      <c r="JR125" s="26"/>
      <c r="JS125" s="23"/>
      <c r="JT125" s="26"/>
      <c r="JU125" s="26"/>
      <c r="JV125" s="26"/>
      <c r="JW125" s="26"/>
      <c r="JX125" s="26"/>
      <c r="JY125" s="26"/>
      <c r="JZ125" s="26"/>
      <c r="KA125" s="26"/>
      <c r="KB125" s="26"/>
      <c r="KC125" s="26"/>
      <c r="KD125" s="26"/>
      <c r="KE125" s="26"/>
      <c r="KF125" s="26"/>
      <c r="KG125" s="26"/>
      <c r="KH125" s="26"/>
      <c r="KI125" s="26"/>
      <c r="KJ125" s="26"/>
      <c r="KK125" s="26"/>
      <c r="KL125" s="26"/>
      <c r="KM125" s="26"/>
      <c r="KN125" s="26"/>
      <c r="KO125" s="26"/>
      <c r="KP125" s="26"/>
      <c r="KQ125" s="26"/>
      <c r="KR125" s="26"/>
      <c r="KS125" s="26"/>
      <c r="KT125" s="26"/>
      <c r="KU125" s="26"/>
      <c r="KV125" s="26"/>
      <c r="KW125" s="26"/>
      <c r="KX125" s="26"/>
      <c r="KY125" s="26"/>
      <c r="KZ125" s="26"/>
      <c r="LA125" s="26"/>
      <c r="LB125" s="26"/>
      <c r="LC125" s="26"/>
      <c r="LD125" s="26"/>
      <c r="LE125" s="26"/>
      <c r="LF125" s="23"/>
      <c r="LG125" s="26"/>
      <c r="LH125" s="26"/>
      <c r="LI125" s="26"/>
      <c r="LJ125" s="26"/>
      <c r="LK125" s="26"/>
      <c r="LL125" s="26"/>
      <c r="LM125" s="26"/>
      <c r="LN125" s="26"/>
      <c r="LO125" s="26"/>
      <c r="LP125" s="26"/>
      <c r="LQ125" s="26"/>
      <c r="LR125" s="26"/>
      <c r="LS125" s="26"/>
      <c r="LT125" s="26"/>
      <c r="LU125" s="26"/>
      <c r="LV125" s="26"/>
      <c r="LW125" s="26"/>
      <c r="LX125" s="26"/>
      <c r="LY125" s="26"/>
      <c r="LZ125" s="26"/>
      <c r="MA125" s="26"/>
      <c r="MB125" s="26"/>
      <c r="MC125" s="26"/>
      <c r="MD125" s="26"/>
      <c r="ME125" s="26"/>
      <c r="MF125" s="26"/>
      <c r="MG125" s="26"/>
      <c r="MH125" s="26"/>
      <c r="MI125" s="26"/>
      <c r="MJ125" s="26"/>
      <c r="MK125" s="26"/>
      <c r="ML125" s="26"/>
      <c r="MM125" s="26"/>
      <c r="MN125" s="26"/>
      <c r="MO125" s="26"/>
      <c r="MP125" s="26"/>
      <c r="MQ125" s="26"/>
      <c r="MR125" s="26"/>
      <c r="MS125" s="23"/>
      <c r="MT125" s="26"/>
      <c r="MU125" s="26"/>
      <c r="MV125" s="26"/>
      <c r="MW125" s="26"/>
      <c r="MX125" s="26"/>
      <c r="MY125" s="26"/>
      <c r="MZ125" s="26"/>
      <c r="NA125" s="26"/>
      <c r="NB125" s="26"/>
      <c r="NC125" s="26"/>
      <c r="ND125" s="26"/>
      <c r="NE125" s="26"/>
      <c r="NF125" s="26"/>
      <c r="NG125" s="26"/>
      <c r="NH125" s="26"/>
      <c r="NI125" s="26"/>
      <c r="NJ125" s="26"/>
      <c r="NK125" s="26"/>
      <c r="NL125" s="26"/>
      <c r="NM125" s="26"/>
      <c r="NN125" s="26"/>
      <c r="NO125" s="26"/>
      <c r="NP125" s="26"/>
      <c r="NQ125" s="26"/>
      <c r="NR125" s="26"/>
      <c r="NS125" s="26"/>
      <c r="NT125" s="26"/>
      <c r="NU125" s="26"/>
      <c r="NV125" s="26"/>
      <c r="NW125" s="26"/>
      <c r="NX125" s="26"/>
      <c r="NY125" s="26"/>
      <c r="NZ125" s="26"/>
      <c r="OA125" s="26"/>
      <c r="OB125" s="26"/>
      <c r="OC125" s="26"/>
      <c r="OD125" s="26"/>
      <c r="OE125" s="26"/>
      <c r="OF125" s="23"/>
      <c r="OG125" s="26"/>
      <c r="OH125" s="26"/>
      <c r="OI125" s="26"/>
      <c r="OJ125" s="26"/>
      <c r="OK125" s="26"/>
      <c r="OL125" s="26"/>
      <c r="OM125" s="26"/>
      <c r="ON125" s="26"/>
      <c r="OO125" s="26"/>
      <c r="OP125" s="26"/>
      <c r="OQ125" s="26"/>
      <c r="OR125" s="26"/>
      <c r="OS125" s="26"/>
      <c r="OT125" s="26"/>
      <c r="OU125" s="26"/>
      <c r="OV125" s="26"/>
      <c r="OW125" s="26"/>
      <c r="OX125" s="26"/>
      <c r="OY125" s="26"/>
      <c r="OZ125" s="26"/>
      <c r="PA125" s="26"/>
      <c r="PB125" s="26"/>
      <c r="PC125" s="26"/>
      <c r="PD125" s="26"/>
      <c r="PE125" s="26"/>
      <c r="PF125" s="26"/>
      <c r="PG125" s="26"/>
      <c r="PH125" s="26"/>
      <c r="PI125" s="26"/>
      <c r="PJ125" s="26"/>
      <c r="PK125" s="26"/>
      <c r="PL125" s="26"/>
      <c r="PM125" s="26"/>
      <c r="PN125" s="26"/>
      <c r="PO125" s="26"/>
      <c r="PP125" s="26"/>
      <c r="PQ125" s="26"/>
      <c r="PR125" s="26"/>
    </row>
    <row r="126" spans="1:434" x14ac:dyDescent="0.25">
      <c r="A126" s="24"/>
      <c r="B126" s="25" t="s">
        <v>193</v>
      </c>
      <c r="C126" s="24" t="s">
        <v>70</v>
      </c>
      <c r="D126" s="24" t="s">
        <v>67</v>
      </c>
      <c r="E126" s="24"/>
      <c r="F126" s="23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3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3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23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3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3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3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3"/>
      <c r="JT126" s="26"/>
      <c r="JU126" s="26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  <c r="KO126" s="26"/>
      <c r="KP126" s="26"/>
      <c r="KQ126" s="26"/>
      <c r="KR126" s="26"/>
      <c r="KS126" s="26"/>
      <c r="KT126" s="26"/>
      <c r="KU126" s="26"/>
      <c r="KV126" s="26"/>
      <c r="KW126" s="26"/>
      <c r="KX126" s="26"/>
      <c r="KY126" s="26"/>
      <c r="KZ126" s="26"/>
      <c r="LA126" s="26"/>
      <c r="LB126" s="26"/>
      <c r="LC126" s="26"/>
      <c r="LD126" s="26"/>
      <c r="LE126" s="26"/>
      <c r="LF126" s="23"/>
      <c r="LG126" s="26"/>
      <c r="LH126" s="26"/>
      <c r="LI126" s="26"/>
      <c r="LJ126" s="26"/>
      <c r="LK126" s="26"/>
      <c r="LL126" s="26"/>
      <c r="LM126" s="26"/>
      <c r="LN126" s="26"/>
      <c r="LO126" s="26"/>
      <c r="LP126" s="26"/>
      <c r="LQ126" s="26"/>
      <c r="LR126" s="26"/>
      <c r="LS126" s="26"/>
      <c r="LT126" s="26"/>
      <c r="LU126" s="26"/>
      <c r="LV126" s="26"/>
      <c r="LW126" s="26"/>
      <c r="LX126" s="26"/>
      <c r="LY126" s="26"/>
      <c r="LZ126" s="26"/>
      <c r="MA126" s="26"/>
      <c r="MB126" s="26"/>
      <c r="MC126" s="26"/>
      <c r="MD126" s="26"/>
      <c r="ME126" s="26"/>
      <c r="MF126" s="26"/>
      <c r="MG126" s="26"/>
      <c r="MH126" s="26"/>
      <c r="MI126" s="26"/>
      <c r="MJ126" s="26"/>
      <c r="MK126" s="26"/>
      <c r="ML126" s="26"/>
      <c r="MM126" s="26"/>
      <c r="MN126" s="26"/>
      <c r="MO126" s="26"/>
      <c r="MP126" s="26"/>
      <c r="MQ126" s="26"/>
      <c r="MR126" s="26"/>
      <c r="MS126" s="23"/>
      <c r="MT126" s="26"/>
      <c r="MU126" s="26"/>
      <c r="MV126" s="26"/>
      <c r="MW126" s="26"/>
      <c r="MX126" s="26"/>
      <c r="MY126" s="26"/>
      <c r="MZ126" s="26"/>
      <c r="NA126" s="26"/>
      <c r="NB126" s="26"/>
      <c r="NC126" s="26"/>
      <c r="ND126" s="26"/>
      <c r="NE126" s="26"/>
      <c r="NF126" s="26"/>
      <c r="NG126" s="26"/>
      <c r="NH126" s="26"/>
      <c r="NI126" s="26"/>
      <c r="NJ126" s="26"/>
      <c r="NK126" s="26"/>
      <c r="NL126" s="26"/>
      <c r="NM126" s="26"/>
      <c r="NN126" s="26"/>
      <c r="NO126" s="26"/>
      <c r="NP126" s="26"/>
      <c r="NQ126" s="26"/>
      <c r="NR126" s="26"/>
      <c r="NS126" s="26"/>
      <c r="NT126" s="26"/>
      <c r="NU126" s="26"/>
      <c r="NV126" s="26"/>
      <c r="NW126" s="26"/>
      <c r="NX126" s="26"/>
      <c r="NY126" s="26"/>
      <c r="NZ126" s="26"/>
      <c r="OA126" s="26"/>
      <c r="OB126" s="26"/>
      <c r="OC126" s="26"/>
      <c r="OD126" s="26"/>
      <c r="OE126" s="26"/>
      <c r="OF126" s="23"/>
      <c r="OG126" s="26"/>
      <c r="OH126" s="26"/>
      <c r="OI126" s="26"/>
      <c r="OJ126" s="26"/>
      <c r="OK126" s="26"/>
      <c r="OL126" s="26"/>
      <c r="OM126" s="26"/>
      <c r="ON126" s="26"/>
      <c r="OO126" s="26"/>
      <c r="OP126" s="26"/>
      <c r="OQ126" s="26"/>
      <c r="OR126" s="26"/>
      <c r="OS126" s="26"/>
      <c r="OT126" s="26"/>
      <c r="OU126" s="26"/>
      <c r="OV126" s="26"/>
      <c r="OW126" s="26"/>
      <c r="OX126" s="26"/>
      <c r="OY126" s="26"/>
      <c r="OZ126" s="26"/>
      <c r="PA126" s="26"/>
      <c r="PB126" s="26"/>
      <c r="PC126" s="26"/>
      <c r="PD126" s="26"/>
      <c r="PE126" s="26"/>
      <c r="PF126" s="26"/>
      <c r="PG126" s="26"/>
      <c r="PH126" s="26"/>
      <c r="PI126" s="26"/>
      <c r="PJ126" s="26"/>
      <c r="PK126" s="26"/>
      <c r="PL126" s="26"/>
      <c r="PM126" s="26"/>
      <c r="PN126" s="26"/>
      <c r="PO126" s="26"/>
      <c r="PP126" s="26"/>
      <c r="PQ126" s="26"/>
      <c r="PR126" s="26"/>
    </row>
    <row r="127" spans="1:434" x14ac:dyDescent="0.25">
      <c r="A127" s="24"/>
      <c r="B127" s="25" t="s">
        <v>194</v>
      </c>
      <c r="C127" s="24" t="s">
        <v>70</v>
      </c>
      <c r="D127" s="24" t="s">
        <v>67</v>
      </c>
      <c r="E127" s="24"/>
      <c r="F127" s="23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3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3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23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3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3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3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3"/>
      <c r="JT127" s="26"/>
      <c r="JU127" s="26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  <c r="KO127" s="26"/>
      <c r="KP127" s="26"/>
      <c r="KQ127" s="26"/>
      <c r="KR127" s="26"/>
      <c r="KS127" s="26"/>
      <c r="KT127" s="26"/>
      <c r="KU127" s="26"/>
      <c r="KV127" s="26"/>
      <c r="KW127" s="26"/>
      <c r="KX127" s="26"/>
      <c r="KY127" s="26"/>
      <c r="KZ127" s="26"/>
      <c r="LA127" s="26"/>
      <c r="LB127" s="26"/>
      <c r="LC127" s="26"/>
      <c r="LD127" s="26"/>
      <c r="LE127" s="26"/>
      <c r="LF127" s="23"/>
      <c r="LG127" s="26"/>
      <c r="LH127" s="26"/>
      <c r="LI127" s="26"/>
      <c r="LJ127" s="26"/>
      <c r="LK127" s="26"/>
      <c r="LL127" s="26"/>
      <c r="LM127" s="26"/>
      <c r="LN127" s="26"/>
      <c r="LO127" s="26"/>
      <c r="LP127" s="26"/>
      <c r="LQ127" s="26"/>
      <c r="LR127" s="26"/>
      <c r="LS127" s="26"/>
      <c r="LT127" s="26"/>
      <c r="LU127" s="26"/>
      <c r="LV127" s="26"/>
      <c r="LW127" s="26"/>
      <c r="LX127" s="26"/>
      <c r="LY127" s="26"/>
      <c r="LZ127" s="26"/>
      <c r="MA127" s="26"/>
      <c r="MB127" s="26"/>
      <c r="MC127" s="26"/>
      <c r="MD127" s="26"/>
      <c r="ME127" s="26"/>
      <c r="MF127" s="26"/>
      <c r="MG127" s="26"/>
      <c r="MH127" s="26"/>
      <c r="MI127" s="26"/>
      <c r="MJ127" s="26"/>
      <c r="MK127" s="26"/>
      <c r="ML127" s="26"/>
      <c r="MM127" s="26"/>
      <c r="MN127" s="26"/>
      <c r="MO127" s="26"/>
      <c r="MP127" s="26"/>
      <c r="MQ127" s="26"/>
      <c r="MR127" s="26"/>
      <c r="MS127" s="23"/>
      <c r="MT127" s="26"/>
      <c r="MU127" s="26"/>
      <c r="MV127" s="26"/>
      <c r="MW127" s="26"/>
      <c r="MX127" s="26"/>
      <c r="MY127" s="26"/>
      <c r="MZ127" s="26"/>
      <c r="NA127" s="26"/>
      <c r="NB127" s="26"/>
      <c r="NC127" s="26"/>
      <c r="ND127" s="26"/>
      <c r="NE127" s="26"/>
      <c r="NF127" s="26"/>
      <c r="NG127" s="26"/>
      <c r="NH127" s="26"/>
      <c r="NI127" s="26"/>
      <c r="NJ127" s="26"/>
      <c r="NK127" s="26"/>
      <c r="NL127" s="26"/>
      <c r="NM127" s="26"/>
      <c r="NN127" s="26"/>
      <c r="NO127" s="26"/>
      <c r="NP127" s="26"/>
      <c r="NQ127" s="26"/>
      <c r="NR127" s="26"/>
      <c r="NS127" s="26"/>
      <c r="NT127" s="26"/>
      <c r="NU127" s="26"/>
      <c r="NV127" s="26"/>
      <c r="NW127" s="26"/>
      <c r="NX127" s="26"/>
      <c r="NY127" s="26"/>
      <c r="NZ127" s="26"/>
      <c r="OA127" s="26"/>
      <c r="OB127" s="26"/>
      <c r="OC127" s="26"/>
      <c r="OD127" s="26"/>
      <c r="OE127" s="26"/>
      <c r="OF127" s="23"/>
      <c r="OG127" s="26"/>
      <c r="OH127" s="26"/>
      <c r="OI127" s="26"/>
      <c r="OJ127" s="26"/>
      <c r="OK127" s="26"/>
      <c r="OL127" s="26"/>
      <c r="OM127" s="26"/>
      <c r="ON127" s="26"/>
      <c r="OO127" s="26"/>
      <c r="OP127" s="26"/>
      <c r="OQ127" s="26"/>
      <c r="OR127" s="26"/>
      <c r="OS127" s="26"/>
      <c r="OT127" s="26"/>
      <c r="OU127" s="26"/>
      <c r="OV127" s="26"/>
      <c r="OW127" s="26"/>
      <c r="OX127" s="26"/>
      <c r="OY127" s="26"/>
      <c r="OZ127" s="26"/>
      <c r="PA127" s="26"/>
      <c r="PB127" s="26"/>
      <c r="PC127" s="26"/>
      <c r="PD127" s="26"/>
      <c r="PE127" s="26"/>
      <c r="PF127" s="26"/>
      <c r="PG127" s="26"/>
      <c r="PH127" s="26"/>
      <c r="PI127" s="26"/>
      <c r="PJ127" s="26"/>
      <c r="PK127" s="26"/>
      <c r="PL127" s="26"/>
      <c r="PM127" s="26"/>
      <c r="PN127" s="26"/>
      <c r="PO127" s="26"/>
      <c r="PP127" s="26"/>
      <c r="PQ127" s="26"/>
      <c r="PR127" s="26"/>
    </row>
    <row r="128" spans="1:434" x14ac:dyDescent="0.25">
      <c r="A128" s="24"/>
      <c r="B128" s="25" t="s">
        <v>195</v>
      </c>
      <c r="C128" s="24" t="s">
        <v>66</v>
      </c>
      <c r="D128" s="24" t="s">
        <v>76</v>
      </c>
      <c r="E128" s="24"/>
      <c r="F128" s="23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3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3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23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3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3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3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6"/>
      <c r="JO128" s="26"/>
      <c r="JP128" s="26"/>
      <c r="JQ128" s="26"/>
      <c r="JR128" s="26"/>
      <c r="JS128" s="23"/>
      <c r="JT128" s="26"/>
      <c r="JU128" s="26"/>
      <c r="JV128" s="26"/>
      <c r="JW128" s="26"/>
      <c r="JX128" s="26"/>
      <c r="JY128" s="26"/>
      <c r="JZ128" s="26"/>
      <c r="KA128" s="26"/>
      <c r="KB128" s="26"/>
      <c r="KC128" s="26"/>
      <c r="KD128" s="26"/>
      <c r="KE128" s="26"/>
      <c r="KF128" s="26"/>
      <c r="KG128" s="26"/>
      <c r="KH128" s="26"/>
      <c r="KI128" s="26"/>
      <c r="KJ128" s="26"/>
      <c r="KK128" s="26"/>
      <c r="KL128" s="26"/>
      <c r="KM128" s="26"/>
      <c r="KN128" s="26"/>
      <c r="KO128" s="26"/>
      <c r="KP128" s="26"/>
      <c r="KQ128" s="26"/>
      <c r="KR128" s="26"/>
      <c r="KS128" s="26"/>
      <c r="KT128" s="26"/>
      <c r="KU128" s="26"/>
      <c r="KV128" s="26"/>
      <c r="KW128" s="26"/>
      <c r="KX128" s="26"/>
      <c r="KY128" s="26"/>
      <c r="KZ128" s="26"/>
      <c r="LA128" s="26"/>
      <c r="LB128" s="26"/>
      <c r="LC128" s="26"/>
      <c r="LD128" s="26"/>
      <c r="LE128" s="26"/>
      <c r="LF128" s="23"/>
      <c r="LG128" s="26"/>
      <c r="LH128" s="26"/>
      <c r="LI128" s="26"/>
      <c r="LJ128" s="26"/>
      <c r="LK128" s="26"/>
      <c r="LL128" s="26"/>
      <c r="LM128" s="26"/>
      <c r="LN128" s="26"/>
      <c r="LO128" s="26"/>
      <c r="LP128" s="26"/>
      <c r="LQ128" s="26"/>
      <c r="LR128" s="26"/>
      <c r="LS128" s="26"/>
      <c r="LT128" s="26"/>
      <c r="LU128" s="26"/>
      <c r="LV128" s="26"/>
      <c r="LW128" s="26"/>
      <c r="LX128" s="26"/>
      <c r="LY128" s="26"/>
      <c r="LZ128" s="26"/>
      <c r="MA128" s="26"/>
      <c r="MB128" s="26"/>
      <c r="MC128" s="26"/>
      <c r="MD128" s="26"/>
      <c r="ME128" s="26"/>
      <c r="MF128" s="26"/>
      <c r="MG128" s="26"/>
      <c r="MH128" s="26"/>
      <c r="MI128" s="26"/>
      <c r="MJ128" s="26"/>
      <c r="MK128" s="26"/>
      <c r="ML128" s="26"/>
      <c r="MM128" s="26"/>
      <c r="MN128" s="26"/>
      <c r="MO128" s="26"/>
      <c r="MP128" s="26"/>
      <c r="MQ128" s="26"/>
      <c r="MR128" s="26"/>
      <c r="MS128" s="23"/>
      <c r="MT128" s="26"/>
      <c r="MU128" s="26"/>
      <c r="MV128" s="26"/>
      <c r="MW128" s="26"/>
      <c r="MX128" s="26"/>
      <c r="MY128" s="26"/>
      <c r="MZ128" s="26"/>
      <c r="NA128" s="26"/>
      <c r="NB128" s="26"/>
      <c r="NC128" s="26"/>
      <c r="ND128" s="26"/>
      <c r="NE128" s="26"/>
      <c r="NF128" s="26"/>
      <c r="NG128" s="26"/>
      <c r="NH128" s="26"/>
      <c r="NI128" s="26"/>
      <c r="NJ128" s="26"/>
      <c r="NK128" s="26"/>
      <c r="NL128" s="26"/>
      <c r="NM128" s="26"/>
      <c r="NN128" s="26"/>
      <c r="NO128" s="26"/>
      <c r="NP128" s="26"/>
      <c r="NQ128" s="26"/>
      <c r="NR128" s="26"/>
      <c r="NS128" s="26"/>
      <c r="NT128" s="26"/>
      <c r="NU128" s="26"/>
      <c r="NV128" s="26"/>
      <c r="NW128" s="26"/>
      <c r="NX128" s="26"/>
      <c r="NY128" s="26"/>
      <c r="NZ128" s="26"/>
      <c r="OA128" s="26"/>
      <c r="OB128" s="26"/>
      <c r="OC128" s="26"/>
      <c r="OD128" s="26"/>
      <c r="OE128" s="26"/>
      <c r="OF128" s="23"/>
      <c r="OG128" s="26"/>
      <c r="OH128" s="26"/>
      <c r="OI128" s="26"/>
      <c r="OJ128" s="26"/>
      <c r="OK128" s="26"/>
      <c r="OL128" s="26"/>
      <c r="OM128" s="26"/>
      <c r="ON128" s="26"/>
      <c r="OO128" s="26"/>
      <c r="OP128" s="26"/>
      <c r="OQ128" s="26"/>
      <c r="OR128" s="26"/>
      <c r="OS128" s="26"/>
      <c r="OT128" s="26"/>
      <c r="OU128" s="26"/>
      <c r="OV128" s="26"/>
      <c r="OW128" s="26"/>
      <c r="OX128" s="26"/>
      <c r="OY128" s="26"/>
      <c r="OZ128" s="26"/>
      <c r="PA128" s="26"/>
      <c r="PB128" s="26"/>
      <c r="PC128" s="26"/>
      <c r="PD128" s="26"/>
      <c r="PE128" s="26"/>
      <c r="PF128" s="26"/>
      <c r="PG128" s="26"/>
      <c r="PH128" s="26"/>
      <c r="PI128" s="26"/>
      <c r="PJ128" s="26"/>
      <c r="PK128" s="26"/>
      <c r="PL128" s="26"/>
      <c r="PM128" s="26"/>
      <c r="PN128" s="26"/>
      <c r="PO128" s="26"/>
      <c r="PP128" s="26"/>
      <c r="PQ128" s="26"/>
      <c r="PR128" s="26"/>
    </row>
    <row r="129" spans="1:434" x14ac:dyDescent="0.25">
      <c r="A129" s="24"/>
      <c r="B129" s="25" t="s">
        <v>196</v>
      </c>
      <c r="C129" s="24" t="s">
        <v>66</v>
      </c>
      <c r="D129" s="24" t="s">
        <v>76</v>
      </c>
      <c r="E129" s="24"/>
      <c r="F129" s="23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3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3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23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3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3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3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6"/>
      <c r="JO129" s="26"/>
      <c r="JP129" s="26"/>
      <c r="JQ129" s="26"/>
      <c r="JR129" s="26"/>
      <c r="JS129" s="23"/>
      <c r="JT129" s="26"/>
      <c r="JU129" s="26"/>
      <c r="JV129" s="26"/>
      <c r="JW129" s="26"/>
      <c r="JX129" s="26"/>
      <c r="JY129" s="26"/>
      <c r="JZ129" s="26"/>
      <c r="KA129" s="26"/>
      <c r="KB129" s="26"/>
      <c r="KC129" s="26"/>
      <c r="KD129" s="26"/>
      <c r="KE129" s="26"/>
      <c r="KF129" s="26"/>
      <c r="KG129" s="26"/>
      <c r="KH129" s="26"/>
      <c r="KI129" s="26"/>
      <c r="KJ129" s="26"/>
      <c r="KK129" s="26"/>
      <c r="KL129" s="26"/>
      <c r="KM129" s="26"/>
      <c r="KN129" s="26"/>
      <c r="KO129" s="26"/>
      <c r="KP129" s="26"/>
      <c r="KQ129" s="26"/>
      <c r="KR129" s="26"/>
      <c r="KS129" s="26"/>
      <c r="KT129" s="26"/>
      <c r="KU129" s="26"/>
      <c r="KV129" s="26"/>
      <c r="KW129" s="26"/>
      <c r="KX129" s="26"/>
      <c r="KY129" s="26"/>
      <c r="KZ129" s="26"/>
      <c r="LA129" s="26"/>
      <c r="LB129" s="26"/>
      <c r="LC129" s="26"/>
      <c r="LD129" s="26"/>
      <c r="LE129" s="26"/>
      <c r="LF129" s="23"/>
      <c r="LG129" s="26"/>
      <c r="LH129" s="26"/>
      <c r="LI129" s="26"/>
      <c r="LJ129" s="26"/>
      <c r="LK129" s="26"/>
      <c r="LL129" s="26"/>
      <c r="LM129" s="26"/>
      <c r="LN129" s="26"/>
      <c r="LO129" s="26"/>
      <c r="LP129" s="26"/>
      <c r="LQ129" s="26"/>
      <c r="LR129" s="26"/>
      <c r="LS129" s="26"/>
      <c r="LT129" s="26"/>
      <c r="LU129" s="26"/>
      <c r="LV129" s="26"/>
      <c r="LW129" s="26"/>
      <c r="LX129" s="26"/>
      <c r="LY129" s="26"/>
      <c r="LZ129" s="26"/>
      <c r="MA129" s="26"/>
      <c r="MB129" s="26"/>
      <c r="MC129" s="26"/>
      <c r="MD129" s="26"/>
      <c r="ME129" s="26"/>
      <c r="MF129" s="26"/>
      <c r="MG129" s="26"/>
      <c r="MH129" s="26"/>
      <c r="MI129" s="26"/>
      <c r="MJ129" s="26"/>
      <c r="MK129" s="26"/>
      <c r="ML129" s="26"/>
      <c r="MM129" s="26"/>
      <c r="MN129" s="26"/>
      <c r="MO129" s="26"/>
      <c r="MP129" s="26"/>
      <c r="MQ129" s="26"/>
      <c r="MR129" s="26"/>
      <c r="MS129" s="23"/>
      <c r="MT129" s="26"/>
      <c r="MU129" s="26"/>
      <c r="MV129" s="26"/>
      <c r="MW129" s="26"/>
      <c r="MX129" s="26"/>
      <c r="MY129" s="26"/>
      <c r="MZ129" s="26"/>
      <c r="NA129" s="26"/>
      <c r="NB129" s="26"/>
      <c r="NC129" s="26"/>
      <c r="ND129" s="26"/>
      <c r="NE129" s="26"/>
      <c r="NF129" s="26"/>
      <c r="NG129" s="26"/>
      <c r="NH129" s="26"/>
      <c r="NI129" s="26"/>
      <c r="NJ129" s="26"/>
      <c r="NK129" s="26"/>
      <c r="NL129" s="26"/>
      <c r="NM129" s="26"/>
      <c r="NN129" s="26"/>
      <c r="NO129" s="26"/>
      <c r="NP129" s="26"/>
      <c r="NQ129" s="26"/>
      <c r="NR129" s="26"/>
      <c r="NS129" s="26"/>
      <c r="NT129" s="26"/>
      <c r="NU129" s="26"/>
      <c r="NV129" s="26"/>
      <c r="NW129" s="26"/>
      <c r="NX129" s="26"/>
      <c r="NY129" s="26"/>
      <c r="NZ129" s="26"/>
      <c r="OA129" s="26"/>
      <c r="OB129" s="26"/>
      <c r="OC129" s="26"/>
      <c r="OD129" s="26"/>
      <c r="OE129" s="26"/>
      <c r="OF129" s="23"/>
      <c r="OG129" s="26"/>
      <c r="OH129" s="26"/>
      <c r="OI129" s="26"/>
      <c r="OJ129" s="26"/>
      <c r="OK129" s="26"/>
      <c r="OL129" s="26"/>
      <c r="OM129" s="26"/>
      <c r="ON129" s="26"/>
      <c r="OO129" s="26"/>
      <c r="OP129" s="26"/>
      <c r="OQ129" s="26"/>
      <c r="OR129" s="26"/>
      <c r="OS129" s="26"/>
      <c r="OT129" s="26"/>
      <c r="OU129" s="26"/>
      <c r="OV129" s="26"/>
      <c r="OW129" s="26"/>
      <c r="OX129" s="26"/>
      <c r="OY129" s="26"/>
      <c r="OZ129" s="26"/>
      <c r="PA129" s="26"/>
      <c r="PB129" s="26"/>
      <c r="PC129" s="26"/>
      <c r="PD129" s="26"/>
      <c r="PE129" s="26"/>
      <c r="PF129" s="26"/>
      <c r="PG129" s="26"/>
      <c r="PH129" s="26"/>
      <c r="PI129" s="26"/>
      <c r="PJ129" s="26"/>
      <c r="PK129" s="26"/>
      <c r="PL129" s="26"/>
      <c r="PM129" s="26"/>
      <c r="PN129" s="26"/>
      <c r="PO129" s="26"/>
      <c r="PP129" s="26"/>
      <c r="PQ129" s="26"/>
      <c r="PR129" s="26"/>
    </row>
    <row r="130" spans="1:434" ht="25.5" x14ac:dyDescent="0.25">
      <c r="A130" s="24"/>
      <c r="B130" s="25" t="s">
        <v>197</v>
      </c>
      <c r="C130" s="24" t="s">
        <v>66</v>
      </c>
      <c r="D130" s="24" t="s">
        <v>73</v>
      </c>
      <c r="E130" s="24"/>
      <c r="F130" s="23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3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3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23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3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3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3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6"/>
      <c r="JO130" s="26"/>
      <c r="JP130" s="26"/>
      <c r="JQ130" s="26"/>
      <c r="JR130" s="26"/>
      <c r="JS130" s="23"/>
      <c r="JT130" s="26"/>
      <c r="JU130" s="26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  <c r="KO130" s="26"/>
      <c r="KP130" s="26"/>
      <c r="KQ130" s="26"/>
      <c r="KR130" s="26"/>
      <c r="KS130" s="26"/>
      <c r="KT130" s="26"/>
      <c r="KU130" s="26"/>
      <c r="KV130" s="26"/>
      <c r="KW130" s="26"/>
      <c r="KX130" s="26"/>
      <c r="KY130" s="26"/>
      <c r="KZ130" s="26"/>
      <c r="LA130" s="26"/>
      <c r="LB130" s="26"/>
      <c r="LC130" s="26"/>
      <c r="LD130" s="26"/>
      <c r="LE130" s="26"/>
      <c r="LF130" s="23"/>
      <c r="LG130" s="26"/>
      <c r="LH130" s="26"/>
      <c r="LI130" s="26"/>
      <c r="LJ130" s="26"/>
      <c r="LK130" s="26"/>
      <c r="LL130" s="26"/>
      <c r="LM130" s="26"/>
      <c r="LN130" s="26"/>
      <c r="LO130" s="26"/>
      <c r="LP130" s="26"/>
      <c r="LQ130" s="26"/>
      <c r="LR130" s="26"/>
      <c r="LS130" s="26"/>
      <c r="LT130" s="26"/>
      <c r="LU130" s="26"/>
      <c r="LV130" s="26"/>
      <c r="LW130" s="26"/>
      <c r="LX130" s="26"/>
      <c r="LY130" s="26"/>
      <c r="LZ130" s="26"/>
      <c r="MA130" s="26"/>
      <c r="MB130" s="26"/>
      <c r="MC130" s="26"/>
      <c r="MD130" s="26"/>
      <c r="ME130" s="26"/>
      <c r="MF130" s="26"/>
      <c r="MG130" s="26"/>
      <c r="MH130" s="26"/>
      <c r="MI130" s="26"/>
      <c r="MJ130" s="26"/>
      <c r="MK130" s="26"/>
      <c r="ML130" s="26"/>
      <c r="MM130" s="26"/>
      <c r="MN130" s="26"/>
      <c r="MO130" s="26"/>
      <c r="MP130" s="26"/>
      <c r="MQ130" s="26"/>
      <c r="MR130" s="26"/>
      <c r="MS130" s="23"/>
      <c r="MT130" s="26"/>
      <c r="MU130" s="26"/>
      <c r="MV130" s="26"/>
      <c r="MW130" s="26"/>
      <c r="MX130" s="26"/>
      <c r="MY130" s="26"/>
      <c r="MZ130" s="26"/>
      <c r="NA130" s="26"/>
      <c r="NB130" s="26"/>
      <c r="NC130" s="26"/>
      <c r="ND130" s="26"/>
      <c r="NE130" s="26"/>
      <c r="NF130" s="26"/>
      <c r="NG130" s="26"/>
      <c r="NH130" s="26"/>
      <c r="NI130" s="26"/>
      <c r="NJ130" s="26"/>
      <c r="NK130" s="26"/>
      <c r="NL130" s="26"/>
      <c r="NM130" s="26"/>
      <c r="NN130" s="26"/>
      <c r="NO130" s="26"/>
      <c r="NP130" s="26"/>
      <c r="NQ130" s="26"/>
      <c r="NR130" s="26"/>
      <c r="NS130" s="26"/>
      <c r="NT130" s="26"/>
      <c r="NU130" s="26"/>
      <c r="NV130" s="26"/>
      <c r="NW130" s="26"/>
      <c r="NX130" s="26"/>
      <c r="NY130" s="26"/>
      <c r="NZ130" s="26"/>
      <c r="OA130" s="26"/>
      <c r="OB130" s="26"/>
      <c r="OC130" s="26"/>
      <c r="OD130" s="26"/>
      <c r="OE130" s="26"/>
      <c r="OF130" s="23"/>
      <c r="OG130" s="26"/>
      <c r="OH130" s="26"/>
      <c r="OI130" s="26"/>
      <c r="OJ130" s="26"/>
      <c r="OK130" s="26"/>
      <c r="OL130" s="26"/>
      <c r="OM130" s="26"/>
      <c r="ON130" s="26"/>
      <c r="OO130" s="26"/>
      <c r="OP130" s="26"/>
      <c r="OQ130" s="26"/>
      <c r="OR130" s="26"/>
      <c r="OS130" s="26"/>
      <c r="OT130" s="26"/>
      <c r="OU130" s="26"/>
      <c r="OV130" s="26"/>
      <c r="OW130" s="26"/>
      <c r="OX130" s="26"/>
      <c r="OY130" s="26"/>
      <c r="OZ130" s="26"/>
      <c r="PA130" s="26"/>
      <c r="PB130" s="26"/>
      <c r="PC130" s="26"/>
      <c r="PD130" s="26"/>
      <c r="PE130" s="26"/>
      <c r="PF130" s="26"/>
      <c r="PG130" s="26"/>
      <c r="PH130" s="26"/>
      <c r="PI130" s="26"/>
      <c r="PJ130" s="26"/>
      <c r="PK130" s="26"/>
      <c r="PL130" s="26"/>
      <c r="PM130" s="26"/>
      <c r="PN130" s="26"/>
      <c r="PO130" s="26"/>
      <c r="PP130" s="26"/>
      <c r="PQ130" s="26"/>
      <c r="PR130" s="26"/>
    </row>
    <row r="131" spans="1:434" x14ac:dyDescent="0.25">
      <c r="A131" s="24"/>
      <c r="B131" s="25" t="s">
        <v>198</v>
      </c>
      <c r="C131" s="24" t="s">
        <v>70</v>
      </c>
      <c r="D131" s="24" t="s">
        <v>67</v>
      </c>
      <c r="E131" s="24"/>
      <c r="F131" s="23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3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3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23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3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3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3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6"/>
      <c r="JO131" s="26"/>
      <c r="JP131" s="26"/>
      <c r="JQ131" s="26"/>
      <c r="JR131" s="26"/>
      <c r="JS131" s="23"/>
      <c r="JT131" s="26"/>
      <c r="JU131" s="26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  <c r="KO131" s="26"/>
      <c r="KP131" s="26"/>
      <c r="KQ131" s="26"/>
      <c r="KR131" s="26"/>
      <c r="KS131" s="26"/>
      <c r="KT131" s="26"/>
      <c r="KU131" s="26"/>
      <c r="KV131" s="26"/>
      <c r="KW131" s="26"/>
      <c r="KX131" s="26"/>
      <c r="KY131" s="26"/>
      <c r="KZ131" s="26"/>
      <c r="LA131" s="26"/>
      <c r="LB131" s="26"/>
      <c r="LC131" s="26"/>
      <c r="LD131" s="26"/>
      <c r="LE131" s="26"/>
      <c r="LF131" s="23"/>
      <c r="LG131" s="26"/>
      <c r="LH131" s="26"/>
      <c r="LI131" s="26"/>
      <c r="LJ131" s="26"/>
      <c r="LK131" s="26"/>
      <c r="LL131" s="26"/>
      <c r="LM131" s="26"/>
      <c r="LN131" s="26"/>
      <c r="LO131" s="26"/>
      <c r="LP131" s="26"/>
      <c r="LQ131" s="26"/>
      <c r="LR131" s="26"/>
      <c r="LS131" s="26"/>
      <c r="LT131" s="26"/>
      <c r="LU131" s="26"/>
      <c r="LV131" s="26"/>
      <c r="LW131" s="26"/>
      <c r="LX131" s="26"/>
      <c r="LY131" s="26"/>
      <c r="LZ131" s="26"/>
      <c r="MA131" s="26"/>
      <c r="MB131" s="26"/>
      <c r="MC131" s="26"/>
      <c r="MD131" s="26"/>
      <c r="ME131" s="26"/>
      <c r="MF131" s="26"/>
      <c r="MG131" s="26"/>
      <c r="MH131" s="26"/>
      <c r="MI131" s="26"/>
      <c r="MJ131" s="26"/>
      <c r="MK131" s="26"/>
      <c r="ML131" s="26"/>
      <c r="MM131" s="26"/>
      <c r="MN131" s="26"/>
      <c r="MO131" s="26"/>
      <c r="MP131" s="26"/>
      <c r="MQ131" s="26"/>
      <c r="MR131" s="26"/>
      <c r="MS131" s="23"/>
      <c r="MT131" s="26"/>
      <c r="MU131" s="26"/>
      <c r="MV131" s="26"/>
      <c r="MW131" s="26"/>
      <c r="MX131" s="26"/>
      <c r="MY131" s="26"/>
      <c r="MZ131" s="26"/>
      <c r="NA131" s="26"/>
      <c r="NB131" s="26"/>
      <c r="NC131" s="26"/>
      <c r="ND131" s="26"/>
      <c r="NE131" s="26"/>
      <c r="NF131" s="26"/>
      <c r="NG131" s="26"/>
      <c r="NH131" s="26"/>
      <c r="NI131" s="26"/>
      <c r="NJ131" s="26"/>
      <c r="NK131" s="26"/>
      <c r="NL131" s="26"/>
      <c r="NM131" s="26"/>
      <c r="NN131" s="26"/>
      <c r="NO131" s="26"/>
      <c r="NP131" s="26"/>
      <c r="NQ131" s="26"/>
      <c r="NR131" s="26"/>
      <c r="NS131" s="26"/>
      <c r="NT131" s="26"/>
      <c r="NU131" s="26"/>
      <c r="NV131" s="26"/>
      <c r="NW131" s="26"/>
      <c r="NX131" s="26"/>
      <c r="NY131" s="26"/>
      <c r="NZ131" s="26"/>
      <c r="OA131" s="26"/>
      <c r="OB131" s="26"/>
      <c r="OC131" s="26"/>
      <c r="OD131" s="26"/>
      <c r="OE131" s="26"/>
      <c r="OF131" s="23"/>
      <c r="OG131" s="26"/>
      <c r="OH131" s="26"/>
      <c r="OI131" s="26"/>
      <c r="OJ131" s="26"/>
      <c r="OK131" s="26"/>
      <c r="OL131" s="26"/>
      <c r="OM131" s="26"/>
      <c r="ON131" s="26"/>
      <c r="OO131" s="26"/>
      <c r="OP131" s="26"/>
      <c r="OQ131" s="26"/>
      <c r="OR131" s="26"/>
      <c r="OS131" s="26"/>
      <c r="OT131" s="26"/>
      <c r="OU131" s="26"/>
      <c r="OV131" s="26"/>
      <c r="OW131" s="26"/>
      <c r="OX131" s="26"/>
      <c r="OY131" s="26"/>
      <c r="OZ131" s="26"/>
      <c r="PA131" s="26"/>
      <c r="PB131" s="26"/>
      <c r="PC131" s="26"/>
      <c r="PD131" s="26"/>
      <c r="PE131" s="26"/>
      <c r="PF131" s="26"/>
      <c r="PG131" s="26"/>
      <c r="PH131" s="26"/>
      <c r="PI131" s="26"/>
      <c r="PJ131" s="26"/>
      <c r="PK131" s="26"/>
      <c r="PL131" s="26"/>
      <c r="PM131" s="26"/>
      <c r="PN131" s="26"/>
      <c r="PO131" s="26"/>
      <c r="PP131" s="26"/>
      <c r="PQ131" s="26"/>
      <c r="PR131" s="26"/>
    </row>
    <row r="132" spans="1:434" x14ac:dyDescent="0.25">
      <c r="A132" s="24"/>
      <c r="B132" s="25" t="s">
        <v>199</v>
      </c>
      <c r="C132" s="24" t="s">
        <v>70</v>
      </c>
      <c r="D132" s="24" t="s">
        <v>67</v>
      </c>
      <c r="E132" s="24"/>
      <c r="F132" s="23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3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3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23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3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3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3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6"/>
      <c r="JO132" s="26"/>
      <c r="JP132" s="26"/>
      <c r="JQ132" s="26"/>
      <c r="JR132" s="26"/>
      <c r="JS132" s="23"/>
      <c r="JT132" s="26"/>
      <c r="JU132" s="26"/>
      <c r="JV132" s="26"/>
      <c r="JW132" s="26"/>
      <c r="JX132" s="26"/>
      <c r="JY132" s="26"/>
      <c r="JZ132" s="26"/>
      <c r="KA132" s="26"/>
      <c r="KB132" s="26"/>
      <c r="KC132" s="26"/>
      <c r="KD132" s="26"/>
      <c r="KE132" s="26"/>
      <c r="KF132" s="26"/>
      <c r="KG132" s="26"/>
      <c r="KH132" s="26"/>
      <c r="KI132" s="26"/>
      <c r="KJ132" s="26"/>
      <c r="KK132" s="26"/>
      <c r="KL132" s="26"/>
      <c r="KM132" s="26"/>
      <c r="KN132" s="26"/>
      <c r="KO132" s="26"/>
      <c r="KP132" s="26"/>
      <c r="KQ132" s="26"/>
      <c r="KR132" s="26"/>
      <c r="KS132" s="26"/>
      <c r="KT132" s="26"/>
      <c r="KU132" s="26"/>
      <c r="KV132" s="26"/>
      <c r="KW132" s="26"/>
      <c r="KX132" s="26"/>
      <c r="KY132" s="26"/>
      <c r="KZ132" s="26"/>
      <c r="LA132" s="26"/>
      <c r="LB132" s="26"/>
      <c r="LC132" s="26"/>
      <c r="LD132" s="26"/>
      <c r="LE132" s="26"/>
      <c r="LF132" s="23"/>
      <c r="LG132" s="26"/>
      <c r="LH132" s="26"/>
      <c r="LI132" s="26"/>
      <c r="LJ132" s="26"/>
      <c r="LK132" s="26"/>
      <c r="LL132" s="26"/>
      <c r="LM132" s="26"/>
      <c r="LN132" s="26"/>
      <c r="LO132" s="26"/>
      <c r="LP132" s="26"/>
      <c r="LQ132" s="26"/>
      <c r="LR132" s="26"/>
      <c r="LS132" s="26"/>
      <c r="LT132" s="26"/>
      <c r="LU132" s="26"/>
      <c r="LV132" s="26"/>
      <c r="LW132" s="26"/>
      <c r="LX132" s="26"/>
      <c r="LY132" s="26"/>
      <c r="LZ132" s="26"/>
      <c r="MA132" s="26"/>
      <c r="MB132" s="26"/>
      <c r="MC132" s="26"/>
      <c r="MD132" s="26"/>
      <c r="ME132" s="26"/>
      <c r="MF132" s="26"/>
      <c r="MG132" s="26"/>
      <c r="MH132" s="26"/>
      <c r="MI132" s="26"/>
      <c r="MJ132" s="26"/>
      <c r="MK132" s="26"/>
      <c r="ML132" s="26"/>
      <c r="MM132" s="26"/>
      <c r="MN132" s="26"/>
      <c r="MO132" s="26"/>
      <c r="MP132" s="26"/>
      <c r="MQ132" s="26"/>
      <c r="MR132" s="26"/>
      <c r="MS132" s="23"/>
      <c r="MT132" s="26"/>
      <c r="MU132" s="26"/>
      <c r="MV132" s="26"/>
      <c r="MW132" s="26"/>
      <c r="MX132" s="26"/>
      <c r="MY132" s="26"/>
      <c r="MZ132" s="26"/>
      <c r="NA132" s="26"/>
      <c r="NB132" s="26"/>
      <c r="NC132" s="26"/>
      <c r="ND132" s="26"/>
      <c r="NE132" s="26"/>
      <c r="NF132" s="26"/>
      <c r="NG132" s="26"/>
      <c r="NH132" s="26"/>
      <c r="NI132" s="26"/>
      <c r="NJ132" s="26"/>
      <c r="NK132" s="26"/>
      <c r="NL132" s="26"/>
      <c r="NM132" s="26"/>
      <c r="NN132" s="26"/>
      <c r="NO132" s="26"/>
      <c r="NP132" s="26"/>
      <c r="NQ132" s="26"/>
      <c r="NR132" s="26"/>
      <c r="NS132" s="26"/>
      <c r="NT132" s="26"/>
      <c r="NU132" s="26"/>
      <c r="NV132" s="26"/>
      <c r="NW132" s="26"/>
      <c r="NX132" s="26"/>
      <c r="NY132" s="26"/>
      <c r="NZ132" s="26"/>
      <c r="OA132" s="26"/>
      <c r="OB132" s="26"/>
      <c r="OC132" s="26"/>
      <c r="OD132" s="26"/>
      <c r="OE132" s="26"/>
      <c r="OF132" s="23"/>
      <c r="OG132" s="26"/>
      <c r="OH132" s="26"/>
      <c r="OI132" s="26"/>
      <c r="OJ132" s="26"/>
      <c r="OK132" s="26"/>
      <c r="OL132" s="26"/>
      <c r="OM132" s="26"/>
      <c r="ON132" s="26"/>
      <c r="OO132" s="26"/>
      <c r="OP132" s="26"/>
      <c r="OQ132" s="26"/>
      <c r="OR132" s="26"/>
      <c r="OS132" s="26"/>
      <c r="OT132" s="26"/>
      <c r="OU132" s="26"/>
      <c r="OV132" s="26"/>
      <c r="OW132" s="26"/>
      <c r="OX132" s="26"/>
      <c r="OY132" s="26"/>
      <c r="OZ132" s="26"/>
      <c r="PA132" s="26"/>
      <c r="PB132" s="26"/>
      <c r="PC132" s="26"/>
      <c r="PD132" s="26"/>
      <c r="PE132" s="26"/>
      <c r="PF132" s="26"/>
      <c r="PG132" s="26"/>
      <c r="PH132" s="26"/>
      <c r="PI132" s="26"/>
      <c r="PJ132" s="26"/>
      <c r="PK132" s="26"/>
      <c r="PL132" s="26"/>
      <c r="PM132" s="26"/>
      <c r="PN132" s="26"/>
      <c r="PO132" s="26"/>
      <c r="PP132" s="26"/>
      <c r="PQ132" s="26"/>
      <c r="PR132" s="26"/>
    </row>
    <row r="133" spans="1:434" x14ac:dyDescent="0.25">
      <c r="A133" s="24"/>
      <c r="B133" s="25" t="s">
        <v>200</v>
      </c>
      <c r="C133" s="24" t="s">
        <v>81</v>
      </c>
      <c r="D133" s="24" t="s">
        <v>76</v>
      </c>
      <c r="E133" s="24"/>
      <c r="F133" s="23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3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3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23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3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3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3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3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3"/>
      <c r="LG133" s="26"/>
      <c r="LH133" s="26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MD133" s="26"/>
      <c r="ME133" s="26"/>
      <c r="MF133" s="26"/>
      <c r="MG133" s="26"/>
      <c r="MH133" s="26"/>
      <c r="MI133" s="26"/>
      <c r="MJ133" s="26"/>
      <c r="MK133" s="26"/>
      <c r="ML133" s="26"/>
      <c r="MM133" s="26"/>
      <c r="MN133" s="26"/>
      <c r="MO133" s="26"/>
      <c r="MP133" s="26"/>
      <c r="MQ133" s="26"/>
      <c r="MR133" s="26"/>
      <c r="MS133" s="23"/>
      <c r="MT133" s="26"/>
      <c r="MU133" s="26"/>
      <c r="MV133" s="26"/>
      <c r="MW133" s="26"/>
      <c r="MX133" s="26"/>
      <c r="MY133" s="26"/>
      <c r="MZ133" s="26"/>
      <c r="NA133" s="26"/>
      <c r="NB133" s="26"/>
      <c r="NC133" s="26"/>
      <c r="ND133" s="26"/>
      <c r="NE133" s="26"/>
      <c r="NF133" s="26"/>
      <c r="NG133" s="26"/>
      <c r="NH133" s="26"/>
      <c r="NI133" s="26"/>
      <c r="NJ133" s="26"/>
      <c r="NK133" s="26"/>
      <c r="NL133" s="26"/>
      <c r="NM133" s="26"/>
      <c r="NN133" s="26"/>
      <c r="NO133" s="26"/>
      <c r="NP133" s="26"/>
      <c r="NQ133" s="26"/>
      <c r="NR133" s="26"/>
      <c r="NS133" s="26"/>
      <c r="NT133" s="26"/>
      <c r="NU133" s="26"/>
      <c r="NV133" s="26"/>
      <c r="NW133" s="26"/>
      <c r="NX133" s="26"/>
      <c r="NY133" s="26"/>
      <c r="NZ133" s="26"/>
      <c r="OA133" s="26"/>
      <c r="OB133" s="26"/>
      <c r="OC133" s="26"/>
      <c r="OD133" s="26"/>
      <c r="OE133" s="26"/>
      <c r="OF133" s="23"/>
      <c r="OG133" s="26"/>
      <c r="OH133" s="26"/>
      <c r="OI133" s="26"/>
      <c r="OJ133" s="26"/>
      <c r="OK133" s="26"/>
      <c r="OL133" s="26"/>
      <c r="OM133" s="26"/>
      <c r="ON133" s="26"/>
      <c r="OO133" s="26"/>
      <c r="OP133" s="26"/>
      <c r="OQ133" s="26"/>
      <c r="OR133" s="26"/>
      <c r="OS133" s="26"/>
      <c r="OT133" s="26"/>
      <c r="OU133" s="26"/>
      <c r="OV133" s="26"/>
      <c r="OW133" s="26"/>
      <c r="OX133" s="26"/>
      <c r="OY133" s="26"/>
      <c r="OZ133" s="26"/>
      <c r="PA133" s="26"/>
      <c r="PB133" s="26"/>
      <c r="PC133" s="26"/>
      <c r="PD133" s="26"/>
      <c r="PE133" s="26"/>
      <c r="PF133" s="26"/>
      <c r="PG133" s="26"/>
      <c r="PH133" s="26"/>
      <c r="PI133" s="26"/>
      <c r="PJ133" s="26"/>
      <c r="PK133" s="26"/>
      <c r="PL133" s="26"/>
      <c r="PM133" s="26"/>
      <c r="PN133" s="26"/>
      <c r="PO133" s="26"/>
      <c r="PP133" s="26"/>
      <c r="PQ133" s="26"/>
      <c r="PR133" s="26"/>
    </row>
    <row r="134" spans="1:434" x14ac:dyDescent="0.25">
      <c r="A134" s="24"/>
      <c r="B134" s="25" t="s">
        <v>201</v>
      </c>
      <c r="C134" s="24" t="s">
        <v>70</v>
      </c>
      <c r="D134" s="24" t="s">
        <v>76</v>
      </c>
      <c r="E134" s="24"/>
      <c r="F134" s="23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3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3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23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3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  <c r="GR134" s="26"/>
      <c r="GS134" s="23"/>
      <c r="GT134" s="26"/>
      <c r="GU134" s="26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/>
      <c r="HJ134" s="26"/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3"/>
      <c r="IG134" s="26"/>
      <c r="IH134" s="26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  <c r="JD134" s="26"/>
      <c r="JE134" s="26"/>
      <c r="JF134" s="26"/>
      <c r="JG134" s="26"/>
      <c r="JH134" s="26"/>
      <c r="JI134" s="26"/>
      <c r="JJ134" s="26"/>
      <c r="JK134" s="26"/>
      <c r="JL134" s="26"/>
      <c r="JM134" s="26"/>
      <c r="JN134" s="26"/>
      <c r="JO134" s="26"/>
      <c r="JP134" s="26"/>
      <c r="JQ134" s="26"/>
      <c r="JR134" s="26"/>
      <c r="JS134" s="23"/>
      <c r="JT134" s="26"/>
      <c r="JU134" s="26"/>
      <c r="JV134" s="26"/>
      <c r="JW134" s="26"/>
      <c r="JX134" s="26"/>
      <c r="JY134" s="26"/>
      <c r="JZ134" s="26"/>
      <c r="KA134" s="26"/>
      <c r="KB134" s="26"/>
      <c r="KC134" s="26"/>
      <c r="KD134" s="26"/>
      <c r="KE134" s="26"/>
      <c r="KF134" s="26"/>
      <c r="KG134" s="26"/>
      <c r="KH134" s="26"/>
      <c r="KI134" s="26"/>
      <c r="KJ134" s="26"/>
      <c r="KK134" s="26"/>
      <c r="KL134" s="26"/>
      <c r="KM134" s="26"/>
      <c r="KN134" s="26"/>
      <c r="KO134" s="26"/>
      <c r="KP134" s="26"/>
      <c r="KQ134" s="26"/>
      <c r="KR134" s="26"/>
      <c r="KS134" s="26"/>
      <c r="KT134" s="26"/>
      <c r="KU134" s="26"/>
      <c r="KV134" s="26"/>
      <c r="KW134" s="26"/>
      <c r="KX134" s="26"/>
      <c r="KY134" s="26"/>
      <c r="KZ134" s="26"/>
      <c r="LA134" s="26"/>
      <c r="LB134" s="26"/>
      <c r="LC134" s="26"/>
      <c r="LD134" s="26"/>
      <c r="LE134" s="26"/>
      <c r="LF134" s="23"/>
      <c r="LG134" s="26"/>
      <c r="LH134" s="26"/>
      <c r="LI134" s="26"/>
      <c r="LJ134" s="26"/>
      <c r="LK134" s="26"/>
      <c r="LL134" s="26"/>
      <c r="LM134" s="26"/>
      <c r="LN134" s="26"/>
      <c r="LO134" s="26"/>
      <c r="LP134" s="26"/>
      <c r="LQ134" s="26"/>
      <c r="LR134" s="26"/>
      <c r="LS134" s="26"/>
      <c r="LT134" s="26"/>
      <c r="LU134" s="26"/>
      <c r="LV134" s="26"/>
      <c r="LW134" s="26"/>
      <c r="LX134" s="26"/>
      <c r="LY134" s="26"/>
      <c r="LZ134" s="26"/>
      <c r="MA134" s="26"/>
      <c r="MB134" s="26"/>
      <c r="MC134" s="26"/>
      <c r="MD134" s="26"/>
      <c r="ME134" s="26"/>
      <c r="MF134" s="26"/>
      <c r="MG134" s="26"/>
      <c r="MH134" s="26"/>
      <c r="MI134" s="26"/>
      <c r="MJ134" s="26"/>
      <c r="MK134" s="26"/>
      <c r="ML134" s="26"/>
      <c r="MM134" s="26"/>
      <c r="MN134" s="26"/>
      <c r="MO134" s="26"/>
      <c r="MP134" s="26"/>
      <c r="MQ134" s="26"/>
      <c r="MR134" s="26"/>
      <c r="MS134" s="23"/>
      <c r="MT134" s="26"/>
      <c r="MU134" s="26"/>
      <c r="MV134" s="26"/>
      <c r="MW134" s="26"/>
      <c r="MX134" s="26"/>
      <c r="MY134" s="26"/>
      <c r="MZ134" s="26"/>
      <c r="NA134" s="26"/>
      <c r="NB134" s="26"/>
      <c r="NC134" s="26"/>
      <c r="ND134" s="26"/>
      <c r="NE134" s="26"/>
      <c r="NF134" s="26"/>
      <c r="NG134" s="26"/>
      <c r="NH134" s="26"/>
      <c r="NI134" s="26"/>
      <c r="NJ134" s="26"/>
      <c r="NK134" s="26"/>
      <c r="NL134" s="26"/>
      <c r="NM134" s="26"/>
      <c r="NN134" s="26"/>
      <c r="NO134" s="26"/>
      <c r="NP134" s="26"/>
      <c r="NQ134" s="26"/>
      <c r="NR134" s="26"/>
      <c r="NS134" s="26"/>
      <c r="NT134" s="26"/>
      <c r="NU134" s="26"/>
      <c r="NV134" s="26"/>
      <c r="NW134" s="26"/>
      <c r="NX134" s="26"/>
      <c r="NY134" s="26"/>
      <c r="NZ134" s="26"/>
      <c r="OA134" s="26"/>
      <c r="OB134" s="26"/>
      <c r="OC134" s="26"/>
      <c r="OD134" s="26"/>
      <c r="OE134" s="26"/>
      <c r="OF134" s="23"/>
      <c r="OG134" s="26"/>
      <c r="OH134" s="26"/>
      <c r="OI134" s="26"/>
      <c r="OJ134" s="26"/>
      <c r="OK134" s="26"/>
      <c r="OL134" s="26"/>
      <c r="OM134" s="26"/>
      <c r="ON134" s="26"/>
      <c r="OO134" s="26"/>
      <c r="OP134" s="26"/>
      <c r="OQ134" s="26"/>
      <c r="OR134" s="26"/>
      <c r="OS134" s="26"/>
      <c r="OT134" s="26"/>
      <c r="OU134" s="26"/>
      <c r="OV134" s="26"/>
      <c r="OW134" s="26"/>
      <c r="OX134" s="26"/>
      <c r="OY134" s="26"/>
      <c r="OZ134" s="26"/>
      <c r="PA134" s="26"/>
      <c r="PB134" s="26"/>
      <c r="PC134" s="26"/>
      <c r="PD134" s="26"/>
      <c r="PE134" s="26"/>
      <c r="PF134" s="26"/>
      <c r="PG134" s="26"/>
      <c r="PH134" s="26"/>
      <c r="PI134" s="26"/>
      <c r="PJ134" s="26"/>
      <c r="PK134" s="26"/>
      <c r="PL134" s="26"/>
      <c r="PM134" s="26"/>
      <c r="PN134" s="26"/>
      <c r="PO134" s="26"/>
      <c r="PP134" s="26"/>
      <c r="PQ134" s="26"/>
      <c r="PR134" s="26"/>
    </row>
    <row r="135" spans="1:434" ht="21.95" customHeight="1" x14ac:dyDescent="0.25">
      <c r="A135" s="87" t="s">
        <v>202</v>
      </c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  <c r="FU135" s="88"/>
      <c r="FV135" s="88"/>
      <c r="FW135" s="88"/>
      <c r="FX135" s="88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88"/>
      <c r="GN135" s="88"/>
      <c r="GO135" s="88"/>
      <c r="GP135" s="88"/>
      <c r="GQ135" s="88"/>
      <c r="GR135" s="88"/>
      <c r="GS135" s="88"/>
      <c r="GT135" s="88"/>
      <c r="GU135" s="88"/>
      <c r="GV135" s="88"/>
      <c r="GW135" s="88"/>
      <c r="GX135" s="88"/>
      <c r="GY135" s="88"/>
      <c r="GZ135" s="88"/>
      <c r="HA135" s="88"/>
      <c r="HB135" s="88"/>
      <c r="HC135" s="88"/>
      <c r="HD135" s="88"/>
      <c r="HE135" s="88"/>
      <c r="HF135" s="88"/>
      <c r="HG135" s="88"/>
      <c r="HH135" s="88"/>
      <c r="HI135" s="88"/>
      <c r="HJ135" s="88"/>
      <c r="HK135" s="88"/>
      <c r="HL135" s="88"/>
      <c r="HM135" s="88"/>
      <c r="HN135" s="88"/>
      <c r="HO135" s="88"/>
      <c r="HP135" s="88"/>
      <c r="HQ135" s="88"/>
      <c r="HR135" s="88"/>
      <c r="HS135" s="88"/>
      <c r="HT135" s="88"/>
      <c r="HU135" s="88"/>
      <c r="HV135" s="88"/>
      <c r="HW135" s="88"/>
      <c r="HX135" s="88"/>
      <c r="HY135" s="88"/>
      <c r="HZ135" s="8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88"/>
      <c r="JG135" s="88"/>
      <c r="JH135" s="88"/>
      <c r="JI135" s="88"/>
      <c r="JJ135" s="88"/>
      <c r="JK135" s="88"/>
      <c r="JL135" s="88"/>
      <c r="JM135" s="88"/>
      <c r="JN135" s="88"/>
      <c r="JO135" s="88"/>
      <c r="JP135" s="88"/>
      <c r="JQ135" s="88"/>
      <c r="JR135" s="88"/>
      <c r="JS135" s="88"/>
      <c r="JT135" s="88"/>
      <c r="JU135" s="88"/>
      <c r="JV135" s="88"/>
      <c r="JW135" s="88"/>
      <c r="JX135" s="88"/>
      <c r="JY135" s="88"/>
      <c r="JZ135" s="88"/>
      <c r="KA135" s="88"/>
      <c r="KB135" s="88"/>
      <c r="KC135" s="88"/>
      <c r="KD135" s="88"/>
      <c r="KE135" s="88"/>
      <c r="KF135" s="88"/>
      <c r="KG135" s="88"/>
      <c r="KH135" s="88"/>
      <c r="KI135" s="88"/>
      <c r="KJ135" s="88"/>
      <c r="KK135" s="88"/>
      <c r="KL135" s="88"/>
      <c r="KM135" s="88"/>
      <c r="KN135" s="88"/>
      <c r="KO135" s="88"/>
      <c r="KP135" s="88"/>
      <c r="KQ135" s="88"/>
      <c r="KR135" s="88"/>
      <c r="KS135" s="88"/>
      <c r="KT135" s="88"/>
      <c r="KU135" s="88"/>
      <c r="KV135" s="88"/>
      <c r="KW135" s="88"/>
      <c r="KX135" s="88"/>
      <c r="KY135" s="88"/>
      <c r="KZ135" s="88"/>
      <c r="LA135" s="88"/>
      <c r="LB135" s="88"/>
      <c r="LC135" s="88"/>
      <c r="LD135" s="88"/>
      <c r="LE135" s="88"/>
      <c r="LF135" s="88"/>
      <c r="LG135" s="88"/>
      <c r="LH135" s="88"/>
      <c r="LI135" s="88"/>
      <c r="LJ135" s="88"/>
      <c r="LK135" s="88"/>
      <c r="LL135" s="88"/>
      <c r="LM135" s="88"/>
      <c r="LN135" s="88"/>
      <c r="LO135" s="88"/>
      <c r="LP135" s="88"/>
      <c r="LQ135" s="88"/>
      <c r="LR135" s="88"/>
      <c r="LS135" s="88"/>
      <c r="LT135" s="88"/>
      <c r="LU135" s="88"/>
      <c r="LV135" s="88"/>
      <c r="LW135" s="88"/>
      <c r="LX135" s="88"/>
      <c r="LY135" s="88"/>
      <c r="LZ135" s="88"/>
      <c r="MA135" s="88"/>
      <c r="MB135" s="88"/>
      <c r="MC135" s="88"/>
      <c r="MD135" s="88"/>
      <c r="ME135" s="88"/>
      <c r="MF135" s="88"/>
      <c r="MG135" s="88"/>
      <c r="MH135" s="88"/>
      <c r="MI135" s="88"/>
      <c r="MJ135" s="88"/>
      <c r="MK135" s="88"/>
      <c r="ML135" s="88"/>
      <c r="MM135" s="88"/>
      <c r="MN135" s="88"/>
      <c r="MO135" s="88"/>
      <c r="MP135" s="88"/>
      <c r="MQ135" s="88"/>
      <c r="MR135" s="88"/>
      <c r="MS135" s="88"/>
      <c r="MT135" s="88"/>
      <c r="MU135" s="88"/>
      <c r="MV135" s="88"/>
      <c r="MW135" s="88"/>
      <c r="MX135" s="88"/>
      <c r="MY135" s="88"/>
      <c r="MZ135" s="88"/>
      <c r="NA135" s="88"/>
      <c r="NB135" s="88"/>
      <c r="NC135" s="88"/>
      <c r="ND135" s="88"/>
      <c r="NE135" s="88"/>
      <c r="NF135" s="88"/>
      <c r="NG135" s="88"/>
      <c r="NH135" s="88"/>
      <c r="NI135" s="88"/>
      <c r="NJ135" s="88"/>
      <c r="NK135" s="88"/>
      <c r="NL135" s="88"/>
      <c r="NM135" s="88"/>
      <c r="NN135" s="88"/>
      <c r="NO135" s="88"/>
      <c r="NP135" s="88"/>
      <c r="NQ135" s="88"/>
      <c r="NR135" s="88"/>
      <c r="NS135" s="88"/>
      <c r="NT135" s="88"/>
      <c r="NU135" s="88"/>
      <c r="NV135" s="88"/>
      <c r="NW135" s="88"/>
      <c r="NX135" s="88"/>
      <c r="NY135" s="88"/>
      <c r="NZ135" s="88"/>
      <c r="OA135" s="88"/>
      <c r="OB135" s="88"/>
      <c r="OC135" s="88"/>
      <c r="OD135" s="88"/>
      <c r="OE135" s="88"/>
      <c r="OF135" s="88"/>
      <c r="OG135" s="88"/>
      <c r="OH135" s="88"/>
      <c r="OI135" s="88"/>
      <c r="OJ135" s="88"/>
      <c r="OK135" s="88"/>
      <c r="OL135" s="88"/>
      <c r="OM135" s="88"/>
      <c r="ON135" s="88"/>
      <c r="OO135" s="88"/>
      <c r="OP135" s="88"/>
      <c r="OQ135" s="88"/>
      <c r="OR135" s="88"/>
      <c r="OS135" s="88"/>
      <c r="OT135" s="88"/>
      <c r="OU135" s="88"/>
      <c r="OV135" s="88"/>
      <c r="OW135" s="88"/>
      <c r="OX135" s="88"/>
      <c r="OY135" s="88"/>
      <c r="OZ135" s="88"/>
      <c r="PA135" s="88"/>
      <c r="PB135" s="88"/>
      <c r="PC135" s="88"/>
      <c r="PD135" s="88"/>
      <c r="PE135" s="88"/>
      <c r="PF135" s="88"/>
      <c r="PG135" s="88"/>
      <c r="PH135" s="88"/>
      <c r="PI135" s="88"/>
      <c r="PJ135" s="88"/>
      <c r="PK135" s="88"/>
      <c r="PL135" s="88"/>
      <c r="PM135" s="88"/>
      <c r="PN135" s="88"/>
      <c r="PO135" s="88"/>
      <c r="PP135" s="88"/>
      <c r="PQ135" s="88"/>
      <c r="PR135" s="89"/>
    </row>
    <row r="136" spans="1:434" x14ac:dyDescent="0.25">
      <c r="A136" s="24"/>
      <c r="B136" s="25" t="s">
        <v>203</v>
      </c>
      <c r="C136" s="24" t="s">
        <v>70</v>
      </c>
      <c r="D136" s="24" t="s">
        <v>76</v>
      </c>
      <c r="E136" s="24"/>
      <c r="F136" s="23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3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3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3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3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3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3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6"/>
      <c r="JO136" s="26"/>
      <c r="JP136" s="26"/>
      <c r="JQ136" s="26"/>
      <c r="JR136" s="26"/>
      <c r="JS136" s="23"/>
      <c r="JT136" s="26"/>
      <c r="JU136" s="26"/>
      <c r="JV136" s="26"/>
      <c r="JW136" s="26"/>
      <c r="JX136" s="26"/>
      <c r="JY136" s="26"/>
      <c r="JZ136" s="26"/>
      <c r="KA136" s="26"/>
      <c r="KB136" s="26"/>
      <c r="KC136" s="26"/>
      <c r="KD136" s="26"/>
      <c r="KE136" s="26"/>
      <c r="KF136" s="26"/>
      <c r="KG136" s="26"/>
      <c r="KH136" s="26"/>
      <c r="KI136" s="26"/>
      <c r="KJ136" s="26"/>
      <c r="KK136" s="26"/>
      <c r="KL136" s="26"/>
      <c r="KM136" s="26"/>
      <c r="KN136" s="26"/>
      <c r="KO136" s="26"/>
      <c r="KP136" s="26"/>
      <c r="KQ136" s="26"/>
      <c r="KR136" s="26"/>
      <c r="KS136" s="26"/>
      <c r="KT136" s="26"/>
      <c r="KU136" s="26"/>
      <c r="KV136" s="26"/>
      <c r="KW136" s="26"/>
      <c r="KX136" s="26"/>
      <c r="KY136" s="26"/>
      <c r="KZ136" s="26"/>
      <c r="LA136" s="26"/>
      <c r="LB136" s="26"/>
      <c r="LC136" s="26"/>
      <c r="LD136" s="26"/>
      <c r="LE136" s="26"/>
      <c r="LF136" s="23"/>
      <c r="LG136" s="26"/>
      <c r="LH136" s="26"/>
      <c r="LI136" s="26"/>
      <c r="LJ136" s="26"/>
      <c r="LK136" s="26"/>
      <c r="LL136" s="26"/>
      <c r="LM136" s="26"/>
      <c r="LN136" s="26"/>
      <c r="LO136" s="26"/>
      <c r="LP136" s="26"/>
      <c r="LQ136" s="26"/>
      <c r="LR136" s="26"/>
      <c r="LS136" s="26"/>
      <c r="LT136" s="26"/>
      <c r="LU136" s="26"/>
      <c r="LV136" s="26"/>
      <c r="LW136" s="26"/>
      <c r="LX136" s="26"/>
      <c r="LY136" s="26"/>
      <c r="LZ136" s="26"/>
      <c r="MA136" s="26"/>
      <c r="MB136" s="26"/>
      <c r="MC136" s="26"/>
      <c r="MD136" s="26"/>
      <c r="ME136" s="26"/>
      <c r="MF136" s="26"/>
      <c r="MG136" s="26"/>
      <c r="MH136" s="26"/>
      <c r="MI136" s="26"/>
      <c r="MJ136" s="26"/>
      <c r="MK136" s="26"/>
      <c r="ML136" s="26"/>
      <c r="MM136" s="26"/>
      <c r="MN136" s="26"/>
      <c r="MO136" s="26"/>
      <c r="MP136" s="26"/>
      <c r="MQ136" s="26"/>
      <c r="MR136" s="26"/>
      <c r="MS136" s="23"/>
      <c r="MT136" s="26"/>
      <c r="MU136" s="26"/>
      <c r="MV136" s="26"/>
      <c r="MW136" s="26"/>
      <c r="MX136" s="26"/>
      <c r="MY136" s="26"/>
      <c r="MZ136" s="26"/>
      <c r="NA136" s="26"/>
      <c r="NB136" s="26"/>
      <c r="NC136" s="26"/>
      <c r="ND136" s="26"/>
      <c r="NE136" s="26"/>
      <c r="NF136" s="26"/>
      <c r="NG136" s="26"/>
      <c r="NH136" s="26"/>
      <c r="NI136" s="26"/>
      <c r="NJ136" s="26"/>
      <c r="NK136" s="26"/>
      <c r="NL136" s="26"/>
      <c r="NM136" s="26"/>
      <c r="NN136" s="26"/>
      <c r="NO136" s="26"/>
      <c r="NP136" s="26"/>
      <c r="NQ136" s="26"/>
      <c r="NR136" s="26"/>
      <c r="NS136" s="26"/>
      <c r="NT136" s="26"/>
      <c r="NU136" s="26"/>
      <c r="NV136" s="26"/>
      <c r="NW136" s="26"/>
      <c r="NX136" s="26"/>
      <c r="NY136" s="26"/>
      <c r="NZ136" s="26"/>
      <c r="OA136" s="26"/>
      <c r="OB136" s="26"/>
      <c r="OC136" s="26"/>
      <c r="OD136" s="26"/>
      <c r="OE136" s="26"/>
      <c r="OF136" s="23"/>
      <c r="OG136" s="26"/>
      <c r="OH136" s="26"/>
      <c r="OI136" s="26"/>
      <c r="OJ136" s="26"/>
      <c r="OK136" s="26"/>
      <c r="OL136" s="26"/>
      <c r="OM136" s="26"/>
      <c r="ON136" s="26"/>
      <c r="OO136" s="26"/>
      <c r="OP136" s="26"/>
      <c r="OQ136" s="26"/>
      <c r="OR136" s="26"/>
      <c r="OS136" s="26"/>
      <c r="OT136" s="26"/>
      <c r="OU136" s="26"/>
      <c r="OV136" s="26"/>
      <c r="OW136" s="26"/>
      <c r="OX136" s="26"/>
      <c r="OY136" s="26"/>
      <c r="OZ136" s="26"/>
      <c r="PA136" s="26"/>
      <c r="PB136" s="26"/>
      <c r="PC136" s="26"/>
      <c r="PD136" s="26"/>
      <c r="PE136" s="26"/>
      <c r="PF136" s="26"/>
      <c r="PG136" s="26"/>
      <c r="PH136" s="26"/>
      <c r="PI136" s="26"/>
      <c r="PJ136" s="26"/>
      <c r="PK136" s="26"/>
      <c r="PL136" s="26"/>
      <c r="PM136" s="26"/>
      <c r="PN136" s="26"/>
      <c r="PO136" s="26"/>
      <c r="PP136" s="26"/>
      <c r="PQ136" s="26"/>
      <c r="PR136" s="26"/>
    </row>
    <row r="137" spans="1:434" x14ac:dyDescent="0.25">
      <c r="A137" s="24"/>
      <c r="B137" s="25" t="s">
        <v>204</v>
      </c>
      <c r="C137" s="24" t="s">
        <v>66</v>
      </c>
      <c r="D137" s="24" t="s">
        <v>76</v>
      </c>
      <c r="E137" s="24"/>
      <c r="F137" s="23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3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3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3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3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3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3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3"/>
      <c r="JT137" s="26"/>
      <c r="JU137" s="26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  <c r="KO137" s="26"/>
      <c r="KP137" s="26"/>
      <c r="KQ137" s="26"/>
      <c r="KR137" s="26"/>
      <c r="KS137" s="26"/>
      <c r="KT137" s="26"/>
      <c r="KU137" s="26"/>
      <c r="KV137" s="26"/>
      <c r="KW137" s="26"/>
      <c r="KX137" s="26"/>
      <c r="KY137" s="26"/>
      <c r="KZ137" s="26"/>
      <c r="LA137" s="26"/>
      <c r="LB137" s="26"/>
      <c r="LC137" s="26"/>
      <c r="LD137" s="26"/>
      <c r="LE137" s="26"/>
      <c r="LF137" s="23"/>
      <c r="LG137" s="26"/>
      <c r="LH137" s="26"/>
      <c r="LI137" s="26"/>
      <c r="LJ137" s="26"/>
      <c r="LK137" s="26"/>
      <c r="LL137" s="26"/>
      <c r="LM137" s="26"/>
      <c r="LN137" s="26"/>
      <c r="LO137" s="26"/>
      <c r="LP137" s="26"/>
      <c r="LQ137" s="26"/>
      <c r="LR137" s="26"/>
      <c r="LS137" s="26"/>
      <c r="LT137" s="26"/>
      <c r="LU137" s="26"/>
      <c r="LV137" s="26"/>
      <c r="LW137" s="26"/>
      <c r="LX137" s="26"/>
      <c r="LY137" s="26"/>
      <c r="LZ137" s="26"/>
      <c r="MA137" s="26"/>
      <c r="MB137" s="26"/>
      <c r="MC137" s="26"/>
      <c r="MD137" s="26"/>
      <c r="ME137" s="26"/>
      <c r="MF137" s="26"/>
      <c r="MG137" s="26"/>
      <c r="MH137" s="26"/>
      <c r="MI137" s="26"/>
      <c r="MJ137" s="26"/>
      <c r="MK137" s="26"/>
      <c r="ML137" s="26"/>
      <c r="MM137" s="26"/>
      <c r="MN137" s="26"/>
      <c r="MO137" s="26"/>
      <c r="MP137" s="26"/>
      <c r="MQ137" s="26"/>
      <c r="MR137" s="26"/>
      <c r="MS137" s="23"/>
      <c r="MT137" s="26"/>
      <c r="MU137" s="26"/>
      <c r="MV137" s="26"/>
      <c r="MW137" s="26"/>
      <c r="MX137" s="26"/>
      <c r="MY137" s="26"/>
      <c r="MZ137" s="26"/>
      <c r="NA137" s="26"/>
      <c r="NB137" s="26"/>
      <c r="NC137" s="26"/>
      <c r="ND137" s="26"/>
      <c r="NE137" s="26"/>
      <c r="NF137" s="26"/>
      <c r="NG137" s="26"/>
      <c r="NH137" s="26"/>
      <c r="NI137" s="26"/>
      <c r="NJ137" s="26"/>
      <c r="NK137" s="26"/>
      <c r="NL137" s="26"/>
      <c r="NM137" s="26"/>
      <c r="NN137" s="26"/>
      <c r="NO137" s="26"/>
      <c r="NP137" s="26"/>
      <c r="NQ137" s="26"/>
      <c r="NR137" s="26"/>
      <c r="NS137" s="26"/>
      <c r="NT137" s="26"/>
      <c r="NU137" s="26"/>
      <c r="NV137" s="26"/>
      <c r="NW137" s="26"/>
      <c r="NX137" s="26"/>
      <c r="NY137" s="26"/>
      <c r="NZ137" s="26"/>
      <c r="OA137" s="26"/>
      <c r="OB137" s="26"/>
      <c r="OC137" s="26"/>
      <c r="OD137" s="26"/>
      <c r="OE137" s="26"/>
      <c r="OF137" s="23"/>
      <c r="OG137" s="26"/>
      <c r="OH137" s="26"/>
      <c r="OI137" s="26"/>
      <c r="OJ137" s="26"/>
      <c r="OK137" s="26"/>
      <c r="OL137" s="26"/>
      <c r="OM137" s="26"/>
      <c r="ON137" s="26"/>
      <c r="OO137" s="26"/>
      <c r="OP137" s="26"/>
      <c r="OQ137" s="26"/>
      <c r="OR137" s="26"/>
      <c r="OS137" s="26"/>
      <c r="OT137" s="26"/>
      <c r="OU137" s="26"/>
      <c r="OV137" s="26"/>
      <c r="OW137" s="26"/>
      <c r="OX137" s="26"/>
      <c r="OY137" s="26"/>
      <c r="OZ137" s="26"/>
      <c r="PA137" s="26"/>
      <c r="PB137" s="26"/>
      <c r="PC137" s="26"/>
      <c r="PD137" s="26"/>
      <c r="PE137" s="26"/>
      <c r="PF137" s="26"/>
      <c r="PG137" s="26"/>
      <c r="PH137" s="26"/>
      <c r="PI137" s="26"/>
      <c r="PJ137" s="26"/>
      <c r="PK137" s="26"/>
      <c r="PL137" s="26"/>
      <c r="PM137" s="26"/>
      <c r="PN137" s="26"/>
      <c r="PO137" s="26"/>
      <c r="PP137" s="26"/>
      <c r="PQ137" s="26"/>
      <c r="PR137" s="26"/>
    </row>
    <row r="138" spans="1:434" x14ac:dyDescent="0.25">
      <c r="A138" s="24"/>
      <c r="B138" s="25" t="s">
        <v>205</v>
      </c>
      <c r="C138" s="24" t="s">
        <v>70</v>
      </c>
      <c r="D138" s="24" t="s">
        <v>76</v>
      </c>
      <c r="E138" s="24"/>
      <c r="F138" s="23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3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3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3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3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  <c r="GR138" s="26"/>
      <c r="GS138" s="23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3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  <c r="JD138" s="26"/>
      <c r="JE138" s="26"/>
      <c r="JF138" s="26"/>
      <c r="JG138" s="26"/>
      <c r="JH138" s="26"/>
      <c r="JI138" s="26"/>
      <c r="JJ138" s="26"/>
      <c r="JK138" s="26"/>
      <c r="JL138" s="26"/>
      <c r="JM138" s="26"/>
      <c r="JN138" s="26"/>
      <c r="JO138" s="26"/>
      <c r="JP138" s="26"/>
      <c r="JQ138" s="26"/>
      <c r="JR138" s="26"/>
      <c r="JS138" s="23"/>
      <c r="JT138" s="26"/>
      <c r="JU138" s="26"/>
      <c r="JV138" s="26"/>
      <c r="JW138" s="26"/>
      <c r="JX138" s="26"/>
      <c r="JY138" s="26"/>
      <c r="JZ138" s="26"/>
      <c r="KA138" s="26"/>
      <c r="KB138" s="26"/>
      <c r="KC138" s="26"/>
      <c r="KD138" s="26"/>
      <c r="KE138" s="26"/>
      <c r="KF138" s="26"/>
      <c r="KG138" s="26"/>
      <c r="KH138" s="26"/>
      <c r="KI138" s="26"/>
      <c r="KJ138" s="26"/>
      <c r="KK138" s="26"/>
      <c r="KL138" s="26"/>
      <c r="KM138" s="26"/>
      <c r="KN138" s="26"/>
      <c r="KO138" s="26"/>
      <c r="KP138" s="26"/>
      <c r="KQ138" s="26"/>
      <c r="KR138" s="26"/>
      <c r="KS138" s="26"/>
      <c r="KT138" s="26"/>
      <c r="KU138" s="26"/>
      <c r="KV138" s="26"/>
      <c r="KW138" s="26"/>
      <c r="KX138" s="26"/>
      <c r="KY138" s="26"/>
      <c r="KZ138" s="26"/>
      <c r="LA138" s="26"/>
      <c r="LB138" s="26"/>
      <c r="LC138" s="26"/>
      <c r="LD138" s="26"/>
      <c r="LE138" s="26"/>
      <c r="LF138" s="23"/>
      <c r="LG138" s="26"/>
      <c r="LH138" s="26"/>
      <c r="LI138" s="26"/>
      <c r="LJ138" s="26"/>
      <c r="LK138" s="26"/>
      <c r="LL138" s="26"/>
      <c r="LM138" s="26"/>
      <c r="LN138" s="26"/>
      <c r="LO138" s="26"/>
      <c r="LP138" s="26"/>
      <c r="LQ138" s="26"/>
      <c r="LR138" s="26"/>
      <c r="LS138" s="26"/>
      <c r="LT138" s="26"/>
      <c r="LU138" s="26"/>
      <c r="LV138" s="26"/>
      <c r="LW138" s="26"/>
      <c r="LX138" s="26"/>
      <c r="LY138" s="26"/>
      <c r="LZ138" s="26"/>
      <c r="MA138" s="26"/>
      <c r="MB138" s="26"/>
      <c r="MC138" s="26"/>
      <c r="MD138" s="26"/>
      <c r="ME138" s="26"/>
      <c r="MF138" s="26"/>
      <c r="MG138" s="26"/>
      <c r="MH138" s="26"/>
      <c r="MI138" s="26"/>
      <c r="MJ138" s="26"/>
      <c r="MK138" s="26"/>
      <c r="ML138" s="26"/>
      <c r="MM138" s="26"/>
      <c r="MN138" s="26"/>
      <c r="MO138" s="26"/>
      <c r="MP138" s="26"/>
      <c r="MQ138" s="26"/>
      <c r="MR138" s="26"/>
      <c r="MS138" s="23"/>
      <c r="MT138" s="26"/>
      <c r="MU138" s="26"/>
      <c r="MV138" s="26"/>
      <c r="MW138" s="26"/>
      <c r="MX138" s="26"/>
      <c r="MY138" s="26"/>
      <c r="MZ138" s="26"/>
      <c r="NA138" s="26"/>
      <c r="NB138" s="26"/>
      <c r="NC138" s="26"/>
      <c r="ND138" s="26"/>
      <c r="NE138" s="26"/>
      <c r="NF138" s="26"/>
      <c r="NG138" s="26"/>
      <c r="NH138" s="26"/>
      <c r="NI138" s="26"/>
      <c r="NJ138" s="26"/>
      <c r="NK138" s="26"/>
      <c r="NL138" s="26"/>
      <c r="NM138" s="26"/>
      <c r="NN138" s="26"/>
      <c r="NO138" s="26"/>
      <c r="NP138" s="26"/>
      <c r="NQ138" s="26"/>
      <c r="NR138" s="26"/>
      <c r="NS138" s="26"/>
      <c r="NT138" s="26"/>
      <c r="NU138" s="26"/>
      <c r="NV138" s="26"/>
      <c r="NW138" s="26"/>
      <c r="NX138" s="26"/>
      <c r="NY138" s="26"/>
      <c r="NZ138" s="26"/>
      <c r="OA138" s="26"/>
      <c r="OB138" s="26"/>
      <c r="OC138" s="26"/>
      <c r="OD138" s="26"/>
      <c r="OE138" s="26"/>
      <c r="OF138" s="23"/>
      <c r="OG138" s="26"/>
      <c r="OH138" s="26"/>
      <c r="OI138" s="26"/>
      <c r="OJ138" s="26"/>
      <c r="OK138" s="26"/>
      <c r="OL138" s="26"/>
      <c r="OM138" s="26"/>
      <c r="ON138" s="26"/>
      <c r="OO138" s="26"/>
      <c r="OP138" s="26"/>
      <c r="OQ138" s="26"/>
      <c r="OR138" s="26"/>
      <c r="OS138" s="26"/>
      <c r="OT138" s="26"/>
      <c r="OU138" s="26"/>
      <c r="OV138" s="26"/>
      <c r="OW138" s="26"/>
      <c r="OX138" s="26"/>
      <c r="OY138" s="26"/>
      <c r="OZ138" s="26"/>
      <c r="PA138" s="26"/>
      <c r="PB138" s="26"/>
      <c r="PC138" s="26"/>
      <c r="PD138" s="26"/>
      <c r="PE138" s="26"/>
      <c r="PF138" s="26"/>
      <c r="PG138" s="26"/>
      <c r="PH138" s="26"/>
      <c r="PI138" s="26"/>
      <c r="PJ138" s="26"/>
      <c r="PK138" s="26"/>
      <c r="PL138" s="26"/>
      <c r="PM138" s="26"/>
      <c r="PN138" s="26"/>
      <c r="PO138" s="26"/>
      <c r="PP138" s="26"/>
      <c r="PQ138" s="26"/>
      <c r="PR138" s="26"/>
    </row>
    <row r="139" spans="1:434" x14ac:dyDescent="0.25">
      <c r="A139" s="24"/>
      <c r="B139" s="25" t="s">
        <v>206</v>
      </c>
      <c r="C139" s="24" t="s">
        <v>66</v>
      </c>
      <c r="D139" s="24" t="s">
        <v>76</v>
      </c>
      <c r="E139" s="24"/>
      <c r="F139" s="23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3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3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3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3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3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3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3"/>
      <c r="JT139" s="26"/>
      <c r="JU139" s="26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  <c r="KO139" s="26"/>
      <c r="KP139" s="26"/>
      <c r="KQ139" s="26"/>
      <c r="KR139" s="26"/>
      <c r="KS139" s="26"/>
      <c r="KT139" s="26"/>
      <c r="KU139" s="26"/>
      <c r="KV139" s="26"/>
      <c r="KW139" s="26"/>
      <c r="KX139" s="26"/>
      <c r="KY139" s="26"/>
      <c r="KZ139" s="26"/>
      <c r="LA139" s="26"/>
      <c r="LB139" s="26"/>
      <c r="LC139" s="26"/>
      <c r="LD139" s="26"/>
      <c r="LE139" s="26"/>
      <c r="LF139" s="23"/>
      <c r="LG139" s="26"/>
      <c r="LH139" s="26"/>
      <c r="LI139" s="26"/>
      <c r="LJ139" s="26"/>
      <c r="LK139" s="26"/>
      <c r="LL139" s="26"/>
      <c r="LM139" s="26"/>
      <c r="LN139" s="26"/>
      <c r="LO139" s="26"/>
      <c r="LP139" s="26"/>
      <c r="LQ139" s="26"/>
      <c r="LR139" s="26"/>
      <c r="LS139" s="26"/>
      <c r="LT139" s="26"/>
      <c r="LU139" s="26"/>
      <c r="LV139" s="26"/>
      <c r="LW139" s="26"/>
      <c r="LX139" s="26"/>
      <c r="LY139" s="26"/>
      <c r="LZ139" s="26"/>
      <c r="MA139" s="26"/>
      <c r="MB139" s="26"/>
      <c r="MC139" s="26"/>
      <c r="MD139" s="26"/>
      <c r="ME139" s="26"/>
      <c r="MF139" s="26"/>
      <c r="MG139" s="26"/>
      <c r="MH139" s="26"/>
      <c r="MI139" s="26"/>
      <c r="MJ139" s="26"/>
      <c r="MK139" s="26"/>
      <c r="ML139" s="26"/>
      <c r="MM139" s="26"/>
      <c r="MN139" s="26"/>
      <c r="MO139" s="26"/>
      <c r="MP139" s="26"/>
      <c r="MQ139" s="26"/>
      <c r="MR139" s="26"/>
      <c r="MS139" s="23"/>
      <c r="MT139" s="26"/>
      <c r="MU139" s="26"/>
      <c r="MV139" s="26"/>
      <c r="MW139" s="26"/>
      <c r="MX139" s="26"/>
      <c r="MY139" s="26"/>
      <c r="MZ139" s="26"/>
      <c r="NA139" s="26"/>
      <c r="NB139" s="26"/>
      <c r="NC139" s="26"/>
      <c r="ND139" s="26"/>
      <c r="NE139" s="26"/>
      <c r="NF139" s="26"/>
      <c r="NG139" s="26"/>
      <c r="NH139" s="26"/>
      <c r="NI139" s="26"/>
      <c r="NJ139" s="26"/>
      <c r="NK139" s="26"/>
      <c r="NL139" s="26"/>
      <c r="NM139" s="26"/>
      <c r="NN139" s="26"/>
      <c r="NO139" s="26"/>
      <c r="NP139" s="26"/>
      <c r="NQ139" s="26"/>
      <c r="NR139" s="26"/>
      <c r="NS139" s="26"/>
      <c r="NT139" s="26"/>
      <c r="NU139" s="26"/>
      <c r="NV139" s="26"/>
      <c r="NW139" s="26"/>
      <c r="NX139" s="26"/>
      <c r="NY139" s="26"/>
      <c r="NZ139" s="26"/>
      <c r="OA139" s="26"/>
      <c r="OB139" s="26"/>
      <c r="OC139" s="26"/>
      <c r="OD139" s="26"/>
      <c r="OE139" s="26"/>
      <c r="OF139" s="23"/>
      <c r="OG139" s="26"/>
      <c r="OH139" s="26"/>
      <c r="OI139" s="26"/>
      <c r="OJ139" s="26"/>
      <c r="OK139" s="26"/>
      <c r="OL139" s="26"/>
      <c r="OM139" s="26"/>
      <c r="ON139" s="26"/>
      <c r="OO139" s="26"/>
      <c r="OP139" s="26"/>
      <c r="OQ139" s="26"/>
      <c r="OR139" s="26"/>
      <c r="OS139" s="26"/>
      <c r="OT139" s="26"/>
      <c r="OU139" s="26"/>
      <c r="OV139" s="26"/>
      <c r="OW139" s="26"/>
      <c r="OX139" s="26"/>
      <c r="OY139" s="26"/>
      <c r="OZ139" s="26"/>
      <c r="PA139" s="26"/>
      <c r="PB139" s="26"/>
      <c r="PC139" s="26"/>
      <c r="PD139" s="26"/>
      <c r="PE139" s="26"/>
      <c r="PF139" s="26"/>
      <c r="PG139" s="26"/>
      <c r="PH139" s="26"/>
      <c r="PI139" s="26"/>
      <c r="PJ139" s="26"/>
      <c r="PK139" s="26"/>
      <c r="PL139" s="26"/>
      <c r="PM139" s="26"/>
      <c r="PN139" s="26"/>
      <c r="PO139" s="26"/>
      <c r="PP139" s="26"/>
      <c r="PQ139" s="26"/>
      <c r="PR139" s="26"/>
    </row>
    <row r="140" spans="1:434" x14ac:dyDescent="0.25">
      <c r="A140" s="24"/>
      <c r="B140" s="25" t="s">
        <v>207</v>
      </c>
      <c r="C140" s="24" t="s">
        <v>70</v>
      </c>
      <c r="D140" s="24" t="s">
        <v>76</v>
      </c>
      <c r="E140" s="24"/>
      <c r="F140" s="23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3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3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3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3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3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3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  <c r="JD140" s="26"/>
      <c r="JE140" s="26"/>
      <c r="JF140" s="26"/>
      <c r="JG140" s="26"/>
      <c r="JH140" s="26"/>
      <c r="JI140" s="26"/>
      <c r="JJ140" s="26"/>
      <c r="JK140" s="26"/>
      <c r="JL140" s="26"/>
      <c r="JM140" s="26"/>
      <c r="JN140" s="26"/>
      <c r="JO140" s="26"/>
      <c r="JP140" s="26"/>
      <c r="JQ140" s="26"/>
      <c r="JR140" s="26"/>
      <c r="JS140" s="23"/>
      <c r="JT140" s="26"/>
      <c r="JU140" s="26"/>
      <c r="JV140" s="26"/>
      <c r="JW140" s="26"/>
      <c r="JX140" s="26"/>
      <c r="JY140" s="26"/>
      <c r="JZ140" s="26"/>
      <c r="KA140" s="26"/>
      <c r="KB140" s="26"/>
      <c r="KC140" s="26"/>
      <c r="KD140" s="26"/>
      <c r="KE140" s="26"/>
      <c r="KF140" s="26"/>
      <c r="KG140" s="26"/>
      <c r="KH140" s="26"/>
      <c r="KI140" s="26"/>
      <c r="KJ140" s="26"/>
      <c r="KK140" s="26"/>
      <c r="KL140" s="26"/>
      <c r="KM140" s="26"/>
      <c r="KN140" s="26"/>
      <c r="KO140" s="26"/>
      <c r="KP140" s="26"/>
      <c r="KQ140" s="26"/>
      <c r="KR140" s="26"/>
      <c r="KS140" s="26"/>
      <c r="KT140" s="26"/>
      <c r="KU140" s="26"/>
      <c r="KV140" s="26"/>
      <c r="KW140" s="26"/>
      <c r="KX140" s="26"/>
      <c r="KY140" s="26"/>
      <c r="KZ140" s="26"/>
      <c r="LA140" s="26"/>
      <c r="LB140" s="26"/>
      <c r="LC140" s="26"/>
      <c r="LD140" s="26"/>
      <c r="LE140" s="26"/>
      <c r="LF140" s="23"/>
      <c r="LG140" s="26"/>
      <c r="LH140" s="26"/>
      <c r="LI140" s="26"/>
      <c r="LJ140" s="26"/>
      <c r="LK140" s="26"/>
      <c r="LL140" s="26"/>
      <c r="LM140" s="26"/>
      <c r="LN140" s="26"/>
      <c r="LO140" s="26"/>
      <c r="LP140" s="26"/>
      <c r="LQ140" s="26"/>
      <c r="LR140" s="26"/>
      <c r="LS140" s="26"/>
      <c r="LT140" s="26"/>
      <c r="LU140" s="26"/>
      <c r="LV140" s="26"/>
      <c r="LW140" s="26"/>
      <c r="LX140" s="26"/>
      <c r="LY140" s="26"/>
      <c r="LZ140" s="26"/>
      <c r="MA140" s="26"/>
      <c r="MB140" s="26"/>
      <c r="MC140" s="26"/>
      <c r="MD140" s="26"/>
      <c r="ME140" s="26"/>
      <c r="MF140" s="26"/>
      <c r="MG140" s="26"/>
      <c r="MH140" s="26"/>
      <c r="MI140" s="26"/>
      <c r="MJ140" s="26"/>
      <c r="MK140" s="26"/>
      <c r="ML140" s="26"/>
      <c r="MM140" s="26"/>
      <c r="MN140" s="26"/>
      <c r="MO140" s="26"/>
      <c r="MP140" s="26"/>
      <c r="MQ140" s="26"/>
      <c r="MR140" s="26"/>
      <c r="MS140" s="23"/>
      <c r="MT140" s="26"/>
      <c r="MU140" s="26"/>
      <c r="MV140" s="26"/>
      <c r="MW140" s="26"/>
      <c r="MX140" s="26"/>
      <c r="MY140" s="26"/>
      <c r="MZ140" s="26"/>
      <c r="NA140" s="26"/>
      <c r="NB140" s="26"/>
      <c r="NC140" s="26"/>
      <c r="ND140" s="26"/>
      <c r="NE140" s="26"/>
      <c r="NF140" s="26"/>
      <c r="NG140" s="26"/>
      <c r="NH140" s="26"/>
      <c r="NI140" s="26"/>
      <c r="NJ140" s="26"/>
      <c r="NK140" s="26"/>
      <c r="NL140" s="26"/>
      <c r="NM140" s="26"/>
      <c r="NN140" s="26"/>
      <c r="NO140" s="26"/>
      <c r="NP140" s="26"/>
      <c r="NQ140" s="26"/>
      <c r="NR140" s="26"/>
      <c r="NS140" s="26"/>
      <c r="NT140" s="26"/>
      <c r="NU140" s="26"/>
      <c r="NV140" s="26"/>
      <c r="NW140" s="26"/>
      <c r="NX140" s="26"/>
      <c r="NY140" s="26"/>
      <c r="NZ140" s="26"/>
      <c r="OA140" s="26"/>
      <c r="OB140" s="26"/>
      <c r="OC140" s="26"/>
      <c r="OD140" s="26"/>
      <c r="OE140" s="26"/>
      <c r="OF140" s="23"/>
      <c r="OG140" s="26"/>
      <c r="OH140" s="26"/>
      <c r="OI140" s="26"/>
      <c r="OJ140" s="26"/>
      <c r="OK140" s="26"/>
      <c r="OL140" s="26"/>
      <c r="OM140" s="26"/>
      <c r="ON140" s="26"/>
      <c r="OO140" s="26"/>
      <c r="OP140" s="26"/>
      <c r="OQ140" s="26"/>
      <c r="OR140" s="26"/>
      <c r="OS140" s="26"/>
      <c r="OT140" s="26"/>
      <c r="OU140" s="26"/>
      <c r="OV140" s="26"/>
      <c r="OW140" s="26"/>
      <c r="OX140" s="26"/>
      <c r="OY140" s="26"/>
      <c r="OZ140" s="26"/>
      <c r="PA140" s="26"/>
      <c r="PB140" s="26"/>
      <c r="PC140" s="26"/>
      <c r="PD140" s="26"/>
      <c r="PE140" s="26"/>
      <c r="PF140" s="26"/>
      <c r="PG140" s="26"/>
      <c r="PH140" s="26"/>
      <c r="PI140" s="26"/>
      <c r="PJ140" s="26"/>
      <c r="PK140" s="26"/>
      <c r="PL140" s="26"/>
      <c r="PM140" s="26"/>
      <c r="PN140" s="26"/>
      <c r="PO140" s="26"/>
      <c r="PP140" s="26"/>
      <c r="PQ140" s="26"/>
      <c r="PR140" s="26"/>
    </row>
    <row r="141" spans="1:434" x14ac:dyDescent="0.25">
      <c r="A141" s="24"/>
      <c r="B141" s="25" t="s">
        <v>208</v>
      </c>
      <c r="C141" s="24" t="s">
        <v>66</v>
      </c>
      <c r="D141" s="24" t="s">
        <v>76</v>
      </c>
      <c r="E141" s="24"/>
      <c r="F141" s="23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3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3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3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3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3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3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  <c r="JD141" s="26"/>
      <c r="JE141" s="26"/>
      <c r="JF141" s="26"/>
      <c r="JG141" s="26"/>
      <c r="JH141" s="26"/>
      <c r="JI141" s="26"/>
      <c r="JJ141" s="26"/>
      <c r="JK141" s="26"/>
      <c r="JL141" s="26"/>
      <c r="JM141" s="26"/>
      <c r="JN141" s="26"/>
      <c r="JO141" s="26"/>
      <c r="JP141" s="26"/>
      <c r="JQ141" s="26"/>
      <c r="JR141" s="26"/>
      <c r="JS141" s="23"/>
      <c r="JT141" s="26"/>
      <c r="JU141" s="26"/>
      <c r="JV141" s="26"/>
      <c r="JW141" s="26"/>
      <c r="JX141" s="26"/>
      <c r="JY141" s="26"/>
      <c r="JZ141" s="26"/>
      <c r="KA141" s="26"/>
      <c r="KB141" s="26"/>
      <c r="KC141" s="26"/>
      <c r="KD141" s="26"/>
      <c r="KE141" s="26"/>
      <c r="KF141" s="26"/>
      <c r="KG141" s="26"/>
      <c r="KH141" s="26"/>
      <c r="KI141" s="26"/>
      <c r="KJ141" s="26"/>
      <c r="KK141" s="26"/>
      <c r="KL141" s="26"/>
      <c r="KM141" s="26"/>
      <c r="KN141" s="26"/>
      <c r="KO141" s="26"/>
      <c r="KP141" s="26"/>
      <c r="KQ141" s="26"/>
      <c r="KR141" s="26"/>
      <c r="KS141" s="26"/>
      <c r="KT141" s="26"/>
      <c r="KU141" s="26"/>
      <c r="KV141" s="26"/>
      <c r="KW141" s="26"/>
      <c r="KX141" s="26"/>
      <c r="KY141" s="26"/>
      <c r="KZ141" s="26"/>
      <c r="LA141" s="26"/>
      <c r="LB141" s="26"/>
      <c r="LC141" s="26"/>
      <c r="LD141" s="26"/>
      <c r="LE141" s="26"/>
      <c r="LF141" s="23"/>
      <c r="LG141" s="26"/>
      <c r="LH141" s="26"/>
      <c r="LI141" s="26"/>
      <c r="LJ141" s="26"/>
      <c r="LK141" s="26"/>
      <c r="LL141" s="26"/>
      <c r="LM141" s="26"/>
      <c r="LN141" s="26"/>
      <c r="LO141" s="26"/>
      <c r="LP141" s="26"/>
      <c r="LQ141" s="26"/>
      <c r="LR141" s="26"/>
      <c r="LS141" s="26"/>
      <c r="LT141" s="26"/>
      <c r="LU141" s="26"/>
      <c r="LV141" s="26"/>
      <c r="LW141" s="26"/>
      <c r="LX141" s="26"/>
      <c r="LY141" s="26"/>
      <c r="LZ141" s="26"/>
      <c r="MA141" s="26"/>
      <c r="MB141" s="26"/>
      <c r="MC141" s="26"/>
      <c r="MD141" s="26"/>
      <c r="ME141" s="26"/>
      <c r="MF141" s="26"/>
      <c r="MG141" s="26"/>
      <c r="MH141" s="26"/>
      <c r="MI141" s="26"/>
      <c r="MJ141" s="26"/>
      <c r="MK141" s="26"/>
      <c r="ML141" s="26"/>
      <c r="MM141" s="26"/>
      <c r="MN141" s="26"/>
      <c r="MO141" s="26"/>
      <c r="MP141" s="26"/>
      <c r="MQ141" s="26"/>
      <c r="MR141" s="26"/>
      <c r="MS141" s="23"/>
      <c r="MT141" s="26"/>
      <c r="MU141" s="26"/>
      <c r="MV141" s="26"/>
      <c r="MW141" s="26"/>
      <c r="MX141" s="26"/>
      <c r="MY141" s="26"/>
      <c r="MZ141" s="26"/>
      <c r="NA141" s="26"/>
      <c r="NB141" s="26"/>
      <c r="NC141" s="26"/>
      <c r="ND141" s="26"/>
      <c r="NE141" s="26"/>
      <c r="NF141" s="26"/>
      <c r="NG141" s="26"/>
      <c r="NH141" s="26"/>
      <c r="NI141" s="26"/>
      <c r="NJ141" s="26"/>
      <c r="NK141" s="26"/>
      <c r="NL141" s="26"/>
      <c r="NM141" s="26"/>
      <c r="NN141" s="26"/>
      <c r="NO141" s="26"/>
      <c r="NP141" s="26"/>
      <c r="NQ141" s="26"/>
      <c r="NR141" s="26"/>
      <c r="NS141" s="26"/>
      <c r="NT141" s="26"/>
      <c r="NU141" s="26"/>
      <c r="NV141" s="26"/>
      <c r="NW141" s="26"/>
      <c r="NX141" s="26"/>
      <c r="NY141" s="26"/>
      <c r="NZ141" s="26"/>
      <c r="OA141" s="26"/>
      <c r="OB141" s="26"/>
      <c r="OC141" s="26"/>
      <c r="OD141" s="26"/>
      <c r="OE141" s="26"/>
      <c r="OF141" s="23"/>
      <c r="OG141" s="26"/>
      <c r="OH141" s="26"/>
      <c r="OI141" s="26"/>
      <c r="OJ141" s="26"/>
      <c r="OK141" s="26"/>
      <c r="OL141" s="26"/>
      <c r="OM141" s="26"/>
      <c r="ON141" s="26"/>
      <c r="OO141" s="26"/>
      <c r="OP141" s="26"/>
      <c r="OQ141" s="26"/>
      <c r="OR141" s="26"/>
      <c r="OS141" s="26"/>
      <c r="OT141" s="26"/>
      <c r="OU141" s="26"/>
      <c r="OV141" s="26"/>
      <c r="OW141" s="26"/>
      <c r="OX141" s="26"/>
      <c r="OY141" s="26"/>
      <c r="OZ141" s="26"/>
      <c r="PA141" s="26"/>
      <c r="PB141" s="26"/>
      <c r="PC141" s="26"/>
      <c r="PD141" s="26"/>
      <c r="PE141" s="26"/>
      <c r="PF141" s="26"/>
      <c r="PG141" s="26"/>
      <c r="PH141" s="26"/>
      <c r="PI141" s="26"/>
      <c r="PJ141" s="26"/>
      <c r="PK141" s="26"/>
      <c r="PL141" s="26"/>
      <c r="PM141" s="26"/>
      <c r="PN141" s="26"/>
      <c r="PO141" s="26"/>
      <c r="PP141" s="26"/>
      <c r="PQ141" s="26"/>
      <c r="PR141" s="26"/>
    </row>
    <row r="142" spans="1:434" x14ac:dyDescent="0.25">
      <c r="A142" s="24"/>
      <c r="B142" s="25" t="s">
        <v>209</v>
      </c>
      <c r="C142" s="24" t="s">
        <v>66</v>
      </c>
      <c r="D142" s="24" t="s">
        <v>76</v>
      </c>
      <c r="E142" s="24"/>
      <c r="F142" s="23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3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3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3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3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3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3"/>
      <c r="IG142" s="26"/>
      <c r="IH142" s="26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  <c r="JD142" s="26"/>
      <c r="JE142" s="26"/>
      <c r="JF142" s="26"/>
      <c r="JG142" s="26"/>
      <c r="JH142" s="26"/>
      <c r="JI142" s="26"/>
      <c r="JJ142" s="26"/>
      <c r="JK142" s="26"/>
      <c r="JL142" s="26"/>
      <c r="JM142" s="26"/>
      <c r="JN142" s="26"/>
      <c r="JO142" s="26"/>
      <c r="JP142" s="26"/>
      <c r="JQ142" s="26"/>
      <c r="JR142" s="26"/>
      <c r="JS142" s="23"/>
      <c r="JT142" s="26"/>
      <c r="JU142" s="26"/>
      <c r="JV142" s="26"/>
      <c r="JW142" s="26"/>
      <c r="JX142" s="26"/>
      <c r="JY142" s="26"/>
      <c r="JZ142" s="26"/>
      <c r="KA142" s="26"/>
      <c r="KB142" s="26"/>
      <c r="KC142" s="26"/>
      <c r="KD142" s="26"/>
      <c r="KE142" s="26"/>
      <c r="KF142" s="26"/>
      <c r="KG142" s="26"/>
      <c r="KH142" s="26"/>
      <c r="KI142" s="26"/>
      <c r="KJ142" s="26"/>
      <c r="KK142" s="26"/>
      <c r="KL142" s="26"/>
      <c r="KM142" s="26"/>
      <c r="KN142" s="26"/>
      <c r="KO142" s="26"/>
      <c r="KP142" s="26"/>
      <c r="KQ142" s="26"/>
      <c r="KR142" s="26"/>
      <c r="KS142" s="26"/>
      <c r="KT142" s="26"/>
      <c r="KU142" s="26"/>
      <c r="KV142" s="26"/>
      <c r="KW142" s="26"/>
      <c r="KX142" s="26"/>
      <c r="KY142" s="26"/>
      <c r="KZ142" s="26"/>
      <c r="LA142" s="26"/>
      <c r="LB142" s="26"/>
      <c r="LC142" s="26"/>
      <c r="LD142" s="26"/>
      <c r="LE142" s="26"/>
      <c r="LF142" s="23"/>
      <c r="LG142" s="26"/>
      <c r="LH142" s="26"/>
      <c r="LI142" s="26"/>
      <c r="LJ142" s="26"/>
      <c r="LK142" s="26"/>
      <c r="LL142" s="26"/>
      <c r="LM142" s="26"/>
      <c r="LN142" s="26"/>
      <c r="LO142" s="26"/>
      <c r="LP142" s="26"/>
      <c r="LQ142" s="26"/>
      <c r="LR142" s="26"/>
      <c r="LS142" s="26"/>
      <c r="LT142" s="26"/>
      <c r="LU142" s="26"/>
      <c r="LV142" s="26"/>
      <c r="LW142" s="26"/>
      <c r="LX142" s="26"/>
      <c r="LY142" s="26"/>
      <c r="LZ142" s="26"/>
      <c r="MA142" s="26"/>
      <c r="MB142" s="26"/>
      <c r="MC142" s="26"/>
      <c r="MD142" s="26"/>
      <c r="ME142" s="26"/>
      <c r="MF142" s="26"/>
      <c r="MG142" s="26"/>
      <c r="MH142" s="26"/>
      <c r="MI142" s="26"/>
      <c r="MJ142" s="26"/>
      <c r="MK142" s="26"/>
      <c r="ML142" s="26"/>
      <c r="MM142" s="26"/>
      <c r="MN142" s="26"/>
      <c r="MO142" s="26"/>
      <c r="MP142" s="26"/>
      <c r="MQ142" s="26"/>
      <c r="MR142" s="26"/>
      <c r="MS142" s="23"/>
      <c r="MT142" s="26"/>
      <c r="MU142" s="26"/>
      <c r="MV142" s="26"/>
      <c r="MW142" s="26"/>
      <c r="MX142" s="26"/>
      <c r="MY142" s="26"/>
      <c r="MZ142" s="26"/>
      <c r="NA142" s="26"/>
      <c r="NB142" s="26"/>
      <c r="NC142" s="26"/>
      <c r="ND142" s="26"/>
      <c r="NE142" s="26"/>
      <c r="NF142" s="26"/>
      <c r="NG142" s="26"/>
      <c r="NH142" s="26"/>
      <c r="NI142" s="26"/>
      <c r="NJ142" s="26"/>
      <c r="NK142" s="26"/>
      <c r="NL142" s="26"/>
      <c r="NM142" s="26"/>
      <c r="NN142" s="26"/>
      <c r="NO142" s="26"/>
      <c r="NP142" s="26"/>
      <c r="NQ142" s="26"/>
      <c r="NR142" s="26"/>
      <c r="NS142" s="26"/>
      <c r="NT142" s="26"/>
      <c r="NU142" s="26"/>
      <c r="NV142" s="26"/>
      <c r="NW142" s="26"/>
      <c r="NX142" s="26"/>
      <c r="NY142" s="26"/>
      <c r="NZ142" s="26"/>
      <c r="OA142" s="26"/>
      <c r="OB142" s="26"/>
      <c r="OC142" s="26"/>
      <c r="OD142" s="26"/>
      <c r="OE142" s="26"/>
      <c r="OF142" s="23"/>
      <c r="OG142" s="26"/>
      <c r="OH142" s="26"/>
      <c r="OI142" s="26"/>
      <c r="OJ142" s="26"/>
      <c r="OK142" s="26"/>
      <c r="OL142" s="26"/>
      <c r="OM142" s="26"/>
      <c r="ON142" s="26"/>
      <c r="OO142" s="26"/>
      <c r="OP142" s="26"/>
      <c r="OQ142" s="26"/>
      <c r="OR142" s="26"/>
      <c r="OS142" s="26"/>
      <c r="OT142" s="26"/>
      <c r="OU142" s="26"/>
      <c r="OV142" s="26"/>
      <c r="OW142" s="26"/>
      <c r="OX142" s="26"/>
      <c r="OY142" s="26"/>
      <c r="OZ142" s="26"/>
      <c r="PA142" s="26"/>
      <c r="PB142" s="26"/>
      <c r="PC142" s="26"/>
      <c r="PD142" s="26"/>
      <c r="PE142" s="26"/>
      <c r="PF142" s="26"/>
      <c r="PG142" s="26"/>
      <c r="PH142" s="26"/>
      <c r="PI142" s="26"/>
      <c r="PJ142" s="26"/>
      <c r="PK142" s="26"/>
      <c r="PL142" s="26"/>
      <c r="PM142" s="26"/>
      <c r="PN142" s="26"/>
      <c r="PO142" s="26"/>
      <c r="PP142" s="26"/>
      <c r="PQ142" s="26"/>
      <c r="PR142" s="26"/>
    </row>
    <row r="143" spans="1:434" ht="21.95" customHeight="1" x14ac:dyDescent="0.25">
      <c r="A143" s="87" t="s">
        <v>210</v>
      </c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9"/>
    </row>
    <row r="144" spans="1:434" x14ac:dyDescent="0.25">
      <c r="A144" s="24"/>
      <c r="B144" s="25" t="s">
        <v>211</v>
      </c>
      <c r="C144" s="24" t="s">
        <v>81</v>
      </c>
      <c r="D144" s="24" t="s">
        <v>76</v>
      </c>
      <c r="E144" s="24"/>
      <c r="F144" s="23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3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3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3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3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3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3"/>
      <c r="IG144" s="26"/>
      <c r="IH144" s="26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  <c r="JD144" s="26"/>
      <c r="JE144" s="26"/>
      <c r="JF144" s="26"/>
      <c r="JG144" s="26"/>
      <c r="JH144" s="26"/>
      <c r="JI144" s="26"/>
      <c r="JJ144" s="26"/>
      <c r="JK144" s="26"/>
      <c r="JL144" s="26"/>
      <c r="JM144" s="26"/>
      <c r="JN144" s="26"/>
      <c r="JO144" s="26"/>
      <c r="JP144" s="26"/>
      <c r="JQ144" s="26"/>
      <c r="JR144" s="26"/>
      <c r="JS144" s="23"/>
      <c r="JT144" s="26"/>
      <c r="JU144" s="26"/>
      <c r="JV144" s="26"/>
      <c r="JW144" s="26"/>
      <c r="JX144" s="26"/>
      <c r="JY144" s="26"/>
      <c r="JZ144" s="26"/>
      <c r="KA144" s="26"/>
      <c r="KB144" s="26"/>
      <c r="KC144" s="26"/>
      <c r="KD144" s="26"/>
      <c r="KE144" s="26"/>
      <c r="KF144" s="26"/>
      <c r="KG144" s="26"/>
      <c r="KH144" s="26"/>
      <c r="KI144" s="26"/>
      <c r="KJ144" s="26"/>
      <c r="KK144" s="26"/>
      <c r="KL144" s="26"/>
      <c r="KM144" s="26"/>
      <c r="KN144" s="26"/>
      <c r="KO144" s="26"/>
      <c r="KP144" s="26"/>
      <c r="KQ144" s="26"/>
      <c r="KR144" s="26"/>
      <c r="KS144" s="26"/>
      <c r="KT144" s="26"/>
      <c r="KU144" s="26"/>
      <c r="KV144" s="26"/>
      <c r="KW144" s="26"/>
      <c r="KX144" s="26"/>
      <c r="KY144" s="26"/>
      <c r="KZ144" s="26"/>
      <c r="LA144" s="26"/>
      <c r="LB144" s="26"/>
      <c r="LC144" s="26"/>
      <c r="LD144" s="26"/>
      <c r="LE144" s="26"/>
      <c r="LF144" s="23"/>
      <c r="LG144" s="26"/>
      <c r="LH144" s="26"/>
      <c r="LI144" s="26"/>
      <c r="LJ144" s="26"/>
      <c r="LK144" s="26"/>
      <c r="LL144" s="26"/>
      <c r="LM144" s="26"/>
      <c r="LN144" s="26"/>
      <c r="LO144" s="26"/>
      <c r="LP144" s="26"/>
      <c r="LQ144" s="26"/>
      <c r="LR144" s="26"/>
      <c r="LS144" s="26"/>
      <c r="LT144" s="26"/>
      <c r="LU144" s="26"/>
      <c r="LV144" s="26"/>
      <c r="LW144" s="26"/>
      <c r="LX144" s="26"/>
      <c r="LY144" s="26"/>
      <c r="LZ144" s="26"/>
      <c r="MA144" s="26"/>
      <c r="MB144" s="26"/>
      <c r="MC144" s="26"/>
      <c r="MD144" s="26"/>
      <c r="ME144" s="26"/>
      <c r="MF144" s="26"/>
      <c r="MG144" s="26"/>
      <c r="MH144" s="26"/>
      <c r="MI144" s="26"/>
      <c r="MJ144" s="26"/>
      <c r="MK144" s="26"/>
      <c r="ML144" s="26"/>
      <c r="MM144" s="26"/>
      <c r="MN144" s="26"/>
      <c r="MO144" s="26"/>
      <c r="MP144" s="26"/>
      <c r="MQ144" s="26"/>
      <c r="MR144" s="26"/>
      <c r="MS144" s="23"/>
      <c r="MT144" s="26"/>
      <c r="MU144" s="26"/>
      <c r="MV144" s="26"/>
      <c r="MW144" s="26"/>
      <c r="MX144" s="26"/>
      <c r="MY144" s="26"/>
      <c r="MZ144" s="26"/>
      <c r="NA144" s="26"/>
      <c r="NB144" s="26"/>
      <c r="NC144" s="26"/>
      <c r="ND144" s="26"/>
      <c r="NE144" s="26"/>
      <c r="NF144" s="26"/>
      <c r="NG144" s="26"/>
      <c r="NH144" s="26"/>
      <c r="NI144" s="26"/>
      <c r="NJ144" s="26"/>
      <c r="NK144" s="26"/>
      <c r="NL144" s="26"/>
      <c r="NM144" s="26"/>
      <c r="NN144" s="26"/>
      <c r="NO144" s="26"/>
      <c r="NP144" s="26"/>
      <c r="NQ144" s="26"/>
      <c r="NR144" s="26"/>
      <c r="NS144" s="26"/>
      <c r="NT144" s="26"/>
      <c r="NU144" s="26"/>
      <c r="NV144" s="26"/>
      <c r="NW144" s="26"/>
      <c r="NX144" s="26"/>
      <c r="NY144" s="26"/>
      <c r="NZ144" s="26"/>
      <c r="OA144" s="26"/>
      <c r="OB144" s="26"/>
      <c r="OC144" s="26"/>
      <c r="OD144" s="26"/>
      <c r="OE144" s="26"/>
      <c r="OF144" s="23"/>
      <c r="OG144" s="26"/>
      <c r="OH144" s="26"/>
      <c r="OI144" s="26"/>
      <c r="OJ144" s="26"/>
      <c r="OK144" s="26"/>
      <c r="OL144" s="26"/>
      <c r="OM144" s="26"/>
      <c r="ON144" s="26"/>
      <c r="OO144" s="26"/>
      <c r="OP144" s="26"/>
      <c r="OQ144" s="26"/>
      <c r="OR144" s="26"/>
      <c r="OS144" s="26"/>
      <c r="OT144" s="26"/>
      <c r="OU144" s="26"/>
      <c r="OV144" s="26"/>
      <c r="OW144" s="26"/>
      <c r="OX144" s="26"/>
      <c r="OY144" s="26"/>
      <c r="OZ144" s="26"/>
      <c r="PA144" s="26"/>
      <c r="PB144" s="26"/>
      <c r="PC144" s="26"/>
      <c r="PD144" s="26"/>
      <c r="PE144" s="26"/>
      <c r="PF144" s="26"/>
      <c r="PG144" s="26"/>
      <c r="PH144" s="26"/>
      <c r="PI144" s="26"/>
      <c r="PJ144" s="26"/>
      <c r="PK144" s="26"/>
      <c r="PL144" s="26"/>
      <c r="PM144" s="26"/>
      <c r="PN144" s="26"/>
      <c r="PO144" s="26"/>
      <c r="PP144" s="26"/>
      <c r="PQ144" s="26"/>
      <c r="PR144" s="26"/>
    </row>
    <row r="145" spans="1:434" x14ac:dyDescent="0.25">
      <c r="A145" s="24"/>
      <c r="B145" s="25" t="s">
        <v>212</v>
      </c>
      <c r="C145" s="24" t="s">
        <v>81</v>
      </c>
      <c r="D145" s="24" t="s">
        <v>76</v>
      </c>
      <c r="E145" s="24"/>
      <c r="F145" s="23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3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3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3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3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3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3"/>
      <c r="IG145" s="26"/>
      <c r="IH145" s="26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  <c r="JD145" s="26"/>
      <c r="JE145" s="26"/>
      <c r="JF145" s="26"/>
      <c r="JG145" s="26"/>
      <c r="JH145" s="26"/>
      <c r="JI145" s="26"/>
      <c r="JJ145" s="26"/>
      <c r="JK145" s="26"/>
      <c r="JL145" s="26"/>
      <c r="JM145" s="26"/>
      <c r="JN145" s="26"/>
      <c r="JO145" s="26"/>
      <c r="JP145" s="26"/>
      <c r="JQ145" s="26"/>
      <c r="JR145" s="26"/>
      <c r="JS145" s="23"/>
      <c r="JT145" s="26"/>
      <c r="JU145" s="26"/>
      <c r="JV145" s="26"/>
      <c r="JW145" s="26"/>
      <c r="JX145" s="26"/>
      <c r="JY145" s="26"/>
      <c r="JZ145" s="26"/>
      <c r="KA145" s="26"/>
      <c r="KB145" s="26"/>
      <c r="KC145" s="26"/>
      <c r="KD145" s="26"/>
      <c r="KE145" s="26"/>
      <c r="KF145" s="26"/>
      <c r="KG145" s="26"/>
      <c r="KH145" s="26"/>
      <c r="KI145" s="26"/>
      <c r="KJ145" s="26"/>
      <c r="KK145" s="26"/>
      <c r="KL145" s="26"/>
      <c r="KM145" s="26"/>
      <c r="KN145" s="26"/>
      <c r="KO145" s="26"/>
      <c r="KP145" s="26"/>
      <c r="KQ145" s="26"/>
      <c r="KR145" s="26"/>
      <c r="KS145" s="26"/>
      <c r="KT145" s="26"/>
      <c r="KU145" s="26"/>
      <c r="KV145" s="26"/>
      <c r="KW145" s="26"/>
      <c r="KX145" s="26"/>
      <c r="KY145" s="26"/>
      <c r="KZ145" s="26"/>
      <c r="LA145" s="26"/>
      <c r="LB145" s="26"/>
      <c r="LC145" s="26"/>
      <c r="LD145" s="26"/>
      <c r="LE145" s="26"/>
      <c r="LF145" s="23"/>
      <c r="LG145" s="26"/>
      <c r="LH145" s="26"/>
      <c r="LI145" s="26"/>
      <c r="LJ145" s="26"/>
      <c r="LK145" s="26"/>
      <c r="LL145" s="26"/>
      <c r="LM145" s="26"/>
      <c r="LN145" s="26"/>
      <c r="LO145" s="26"/>
      <c r="LP145" s="26"/>
      <c r="LQ145" s="26"/>
      <c r="LR145" s="26"/>
      <c r="LS145" s="26"/>
      <c r="LT145" s="26"/>
      <c r="LU145" s="26"/>
      <c r="LV145" s="26"/>
      <c r="LW145" s="26"/>
      <c r="LX145" s="26"/>
      <c r="LY145" s="26"/>
      <c r="LZ145" s="26"/>
      <c r="MA145" s="26"/>
      <c r="MB145" s="26"/>
      <c r="MC145" s="26"/>
      <c r="MD145" s="26"/>
      <c r="ME145" s="26"/>
      <c r="MF145" s="26"/>
      <c r="MG145" s="26"/>
      <c r="MH145" s="26"/>
      <c r="MI145" s="26"/>
      <c r="MJ145" s="26"/>
      <c r="MK145" s="26"/>
      <c r="ML145" s="26"/>
      <c r="MM145" s="26"/>
      <c r="MN145" s="26"/>
      <c r="MO145" s="26"/>
      <c r="MP145" s="26"/>
      <c r="MQ145" s="26"/>
      <c r="MR145" s="26"/>
      <c r="MS145" s="23"/>
      <c r="MT145" s="26"/>
      <c r="MU145" s="26"/>
      <c r="MV145" s="26"/>
      <c r="MW145" s="26"/>
      <c r="MX145" s="26"/>
      <c r="MY145" s="26"/>
      <c r="MZ145" s="26"/>
      <c r="NA145" s="26"/>
      <c r="NB145" s="26"/>
      <c r="NC145" s="26"/>
      <c r="ND145" s="26"/>
      <c r="NE145" s="26"/>
      <c r="NF145" s="26"/>
      <c r="NG145" s="26"/>
      <c r="NH145" s="26"/>
      <c r="NI145" s="26"/>
      <c r="NJ145" s="26"/>
      <c r="NK145" s="26"/>
      <c r="NL145" s="26"/>
      <c r="NM145" s="26"/>
      <c r="NN145" s="26"/>
      <c r="NO145" s="26"/>
      <c r="NP145" s="26"/>
      <c r="NQ145" s="26"/>
      <c r="NR145" s="26"/>
      <c r="NS145" s="26"/>
      <c r="NT145" s="26"/>
      <c r="NU145" s="26"/>
      <c r="NV145" s="26"/>
      <c r="NW145" s="26"/>
      <c r="NX145" s="26"/>
      <c r="NY145" s="26"/>
      <c r="NZ145" s="26"/>
      <c r="OA145" s="26"/>
      <c r="OB145" s="26"/>
      <c r="OC145" s="26"/>
      <c r="OD145" s="26"/>
      <c r="OE145" s="26"/>
      <c r="OF145" s="23"/>
      <c r="OG145" s="26"/>
      <c r="OH145" s="26"/>
      <c r="OI145" s="26"/>
      <c r="OJ145" s="26"/>
      <c r="OK145" s="26"/>
      <c r="OL145" s="26"/>
      <c r="OM145" s="26"/>
      <c r="ON145" s="26"/>
      <c r="OO145" s="26"/>
      <c r="OP145" s="26"/>
      <c r="OQ145" s="26"/>
      <c r="OR145" s="26"/>
      <c r="OS145" s="26"/>
      <c r="OT145" s="26"/>
      <c r="OU145" s="26"/>
      <c r="OV145" s="26"/>
      <c r="OW145" s="26"/>
      <c r="OX145" s="26"/>
      <c r="OY145" s="26"/>
      <c r="OZ145" s="26"/>
      <c r="PA145" s="26"/>
      <c r="PB145" s="26"/>
      <c r="PC145" s="26"/>
      <c r="PD145" s="26"/>
      <c r="PE145" s="26"/>
      <c r="PF145" s="26"/>
      <c r="PG145" s="26"/>
      <c r="PH145" s="26"/>
      <c r="PI145" s="26"/>
      <c r="PJ145" s="26"/>
      <c r="PK145" s="26"/>
      <c r="PL145" s="26"/>
      <c r="PM145" s="26"/>
      <c r="PN145" s="26"/>
      <c r="PO145" s="26"/>
      <c r="PP145" s="26"/>
      <c r="PQ145" s="26"/>
      <c r="PR145" s="26"/>
    </row>
    <row r="146" spans="1:434" x14ac:dyDescent="0.25">
      <c r="A146" s="24"/>
      <c r="B146" s="25" t="s">
        <v>213</v>
      </c>
      <c r="C146" s="24" t="s">
        <v>70</v>
      </c>
      <c r="D146" s="24" t="s">
        <v>76</v>
      </c>
      <c r="E146" s="24"/>
      <c r="F146" s="23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3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3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3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3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  <c r="GR146" s="26"/>
      <c r="GS146" s="23"/>
      <c r="GT146" s="26"/>
      <c r="GU146" s="26"/>
      <c r="GV146" s="26"/>
      <c r="GW146" s="26"/>
      <c r="GX146" s="26"/>
      <c r="GY146" s="26"/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26"/>
      <c r="HN146" s="26"/>
      <c r="HO146" s="26"/>
      <c r="HP146" s="26"/>
      <c r="HQ146" s="26"/>
      <c r="HR146" s="26"/>
      <c r="HS146" s="26"/>
      <c r="HT146" s="26"/>
      <c r="HU146" s="26"/>
      <c r="HV146" s="26"/>
      <c r="HW146" s="26"/>
      <c r="HX146" s="26"/>
      <c r="HY146" s="26"/>
      <c r="HZ146" s="26"/>
      <c r="IA146" s="26"/>
      <c r="IB146" s="26"/>
      <c r="IC146" s="26"/>
      <c r="ID146" s="26"/>
      <c r="IE146" s="26"/>
      <c r="IF146" s="23"/>
      <c r="IG146" s="26"/>
      <c r="IH146" s="26"/>
      <c r="II146" s="26"/>
      <c r="IJ146" s="26"/>
      <c r="IK146" s="26"/>
      <c r="IL146" s="26"/>
      <c r="IM146" s="26"/>
      <c r="IN146" s="26"/>
      <c r="IO146" s="26"/>
      <c r="IP146" s="26"/>
      <c r="IQ146" s="26"/>
      <c r="IR146" s="26"/>
      <c r="IS146" s="26"/>
      <c r="IT146" s="26"/>
      <c r="IU146" s="26"/>
      <c r="IV146" s="26"/>
      <c r="IW146" s="26"/>
      <c r="IX146" s="26"/>
      <c r="IY146" s="26"/>
      <c r="IZ146" s="26"/>
      <c r="JA146" s="26"/>
      <c r="JB146" s="26"/>
      <c r="JC146" s="26"/>
      <c r="JD146" s="26"/>
      <c r="JE146" s="26"/>
      <c r="JF146" s="26"/>
      <c r="JG146" s="26"/>
      <c r="JH146" s="26"/>
      <c r="JI146" s="26"/>
      <c r="JJ146" s="26"/>
      <c r="JK146" s="26"/>
      <c r="JL146" s="26"/>
      <c r="JM146" s="26"/>
      <c r="JN146" s="26"/>
      <c r="JO146" s="26"/>
      <c r="JP146" s="26"/>
      <c r="JQ146" s="26"/>
      <c r="JR146" s="26"/>
      <c r="JS146" s="23"/>
      <c r="JT146" s="26"/>
      <c r="JU146" s="26"/>
      <c r="JV146" s="26"/>
      <c r="JW146" s="26"/>
      <c r="JX146" s="26"/>
      <c r="JY146" s="26"/>
      <c r="JZ146" s="26"/>
      <c r="KA146" s="26"/>
      <c r="KB146" s="26"/>
      <c r="KC146" s="26"/>
      <c r="KD146" s="26"/>
      <c r="KE146" s="26"/>
      <c r="KF146" s="26"/>
      <c r="KG146" s="26"/>
      <c r="KH146" s="26"/>
      <c r="KI146" s="26"/>
      <c r="KJ146" s="26"/>
      <c r="KK146" s="26"/>
      <c r="KL146" s="26"/>
      <c r="KM146" s="26"/>
      <c r="KN146" s="26"/>
      <c r="KO146" s="26"/>
      <c r="KP146" s="26"/>
      <c r="KQ146" s="26"/>
      <c r="KR146" s="26"/>
      <c r="KS146" s="26"/>
      <c r="KT146" s="26"/>
      <c r="KU146" s="26"/>
      <c r="KV146" s="26"/>
      <c r="KW146" s="26"/>
      <c r="KX146" s="26"/>
      <c r="KY146" s="26"/>
      <c r="KZ146" s="26"/>
      <c r="LA146" s="26"/>
      <c r="LB146" s="26"/>
      <c r="LC146" s="26"/>
      <c r="LD146" s="26"/>
      <c r="LE146" s="26"/>
      <c r="LF146" s="23"/>
      <c r="LG146" s="26"/>
      <c r="LH146" s="26"/>
      <c r="LI146" s="26"/>
      <c r="LJ146" s="26"/>
      <c r="LK146" s="26"/>
      <c r="LL146" s="26"/>
      <c r="LM146" s="26"/>
      <c r="LN146" s="26"/>
      <c r="LO146" s="26"/>
      <c r="LP146" s="26"/>
      <c r="LQ146" s="26"/>
      <c r="LR146" s="26"/>
      <c r="LS146" s="26"/>
      <c r="LT146" s="26"/>
      <c r="LU146" s="26"/>
      <c r="LV146" s="26"/>
      <c r="LW146" s="26"/>
      <c r="LX146" s="26"/>
      <c r="LY146" s="26"/>
      <c r="LZ146" s="26"/>
      <c r="MA146" s="26"/>
      <c r="MB146" s="26"/>
      <c r="MC146" s="26"/>
      <c r="MD146" s="26"/>
      <c r="ME146" s="26"/>
      <c r="MF146" s="26"/>
      <c r="MG146" s="26"/>
      <c r="MH146" s="26"/>
      <c r="MI146" s="26"/>
      <c r="MJ146" s="26"/>
      <c r="MK146" s="26"/>
      <c r="ML146" s="26"/>
      <c r="MM146" s="26"/>
      <c r="MN146" s="26"/>
      <c r="MO146" s="26"/>
      <c r="MP146" s="26"/>
      <c r="MQ146" s="26"/>
      <c r="MR146" s="26"/>
      <c r="MS146" s="23"/>
      <c r="MT146" s="26"/>
      <c r="MU146" s="26"/>
      <c r="MV146" s="26"/>
      <c r="MW146" s="26"/>
      <c r="MX146" s="26"/>
      <c r="MY146" s="26"/>
      <c r="MZ146" s="26"/>
      <c r="NA146" s="26"/>
      <c r="NB146" s="26"/>
      <c r="NC146" s="26"/>
      <c r="ND146" s="26"/>
      <c r="NE146" s="26"/>
      <c r="NF146" s="26"/>
      <c r="NG146" s="26"/>
      <c r="NH146" s="26"/>
      <c r="NI146" s="26"/>
      <c r="NJ146" s="26"/>
      <c r="NK146" s="26"/>
      <c r="NL146" s="26"/>
      <c r="NM146" s="26"/>
      <c r="NN146" s="26"/>
      <c r="NO146" s="26"/>
      <c r="NP146" s="26"/>
      <c r="NQ146" s="26"/>
      <c r="NR146" s="26"/>
      <c r="NS146" s="26"/>
      <c r="NT146" s="26"/>
      <c r="NU146" s="26"/>
      <c r="NV146" s="26"/>
      <c r="NW146" s="26"/>
      <c r="NX146" s="26"/>
      <c r="NY146" s="26"/>
      <c r="NZ146" s="26"/>
      <c r="OA146" s="26"/>
      <c r="OB146" s="26"/>
      <c r="OC146" s="26"/>
      <c r="OD146" s="26"/>
      <c r="OE146" s="26"/>
      <c r="OF146" s="23"/>
      <c r="OG146" s="26"/>
      <c r="OH146" s="26"/>
      <c r="OI146" s="26"/>
      <c r="OJ146" s="26"/>
      <c r="OK146" s="26"/>
      <c r="OL146" s="26"/>
      <c r="OM146" s="26"/>
      <c r="ON146" s="26"/>
      <c r="OO146" s="26"/>
      <c r="OP146" s="26"/>
      <c r="OQ146" s="26"/>
      <c r="OR146" s="26"/>
      <c r="OS146" s="26"/>
      <c r="OT146" s="26"/>
      <c r="OU146" s="26"/>
      <c r="OV146" s="26"/>
      <c r="OW146" s="26"/>
      <c r="OX146" s="26"/>
      <c r="OY146" s="26"/>
      <c r="OZ146" s="26"/>
      <c r="PA146" s="26"/>
      <c r="PB146" s="26"/>
      <c r="PC146" s="26"/>
      <c r="PD146" s="26"/>
      <c r="PE146" s="26"/>
      <c r="PF146" s="26"/>
      <c r="PG146" s="26"/>
      <c r="PH146" s="26"/>
      <c r="PI146" s="26"/>
      <c r="PJ146" s="26"/>
      <c r="PK146" s="26"/>
      <c r="PL146" s="26"/>
      <c r="PM146" s="26"/>
      <c r="PN146" s="26"/>
      <c r="PO146" s="26"/>
      <c r="PP146" s="26"/>
      <c r="PQ146" s="26"/>
      <c r="PR146" s="26"/>
    </row>
    <row r="147" spans="1:434" x14ac:dyDescent="0.25">
      <c r="A147" s="24"/>
      <c r="B147" s="25" t="s">
        <v>214</v>
      </c>
      <c r="C147" s="24" t="s">
        <v>70</v>
      </c>
      <c r="D147" s="24" t="s">
        <v>76</v>
      </c>
      <c r="E147" s="24"/>
      <c r="F147" s="23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3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3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3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3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3"/>
      <c r="GT147" s="26"/>
      <c r="GU147" s="26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3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  <c r="JM147" s="26"/>
      <c r="JN147" s="26"/>
      <c r="JO147" s="26"/>
      <c r="JP147" s="26"/>
      <c r="JQ147" s="26"/>
      <c r="JR147" s="26"/>
      <c r="JS147" s="23"/>
      <c r="JT147" s="26"/>
      <c r="JU147" s="26"/>
      <c r="JV147" s="26"/>
      <c r="JW147" s="26"/>
      <c r="JX147" s="26"/>
      <c r="JY147" s="26"/>
      <c r="JZ147" s="26"/>
      <c r="KA147" s="26"/>
      <c r="KB147" s="26"/>
      <c r="KC147" s="26"/>
      <c r="KD147" s="26"/>
      <c r="KE147" s="26"/>
      <c r="KF147" s="26"/>
      <c r="KG147" s="26"/>
      <c r="KH147" s="26"/>
      <c r="KI147" s="26"/>
      <c r="KJ147" s="26"/>
      <c r="KK147" s="26"/>
      <c r="KL147" s="26"/>
      <c r="KM147" s="26"/>
      <c r="KN147" s="26"/>
      <c r="KO147" s="26"/>
      <c r="KP147" s="26"/>
      <c r="KQ147" s="26"/>
      <c r="KR147" s="26"/>
      <c r="KS147" s="26"/>
      <c r="KT147" s="26"/>
      <c r="KU147" s="26"/>
      <c r="KV147" s="26"/>
      <c r="KW147" s="26"/>
      <c r="KX147" s="26"/>
      <c r="KY147" s="26"/>
      <c r="KZ147" s="26"/>
      <c r="LA147" s="26"/>
      <c r="LB147" s="26"/>
      <c r="LC147" s="26"/>
      <c r="LD147" s="26"/>
      <c r="LE147" s="26"/>
      <c r="LF147" s="23"/>
      <c r="LG147" s="26"/>
      <c r="LH147" s="26"/>
      <c r="LI147" s="26"/>
      <c r="LJ147" s="26"/>
      <c r="LK147" s="26"/>
      <c r="LL147" s="26"/>
      <c r="LM147" s="26"/>
      <c r="LN147" s="26"/>
      <c r="LO147" s="26"/>
      <c r="LP147" s="26"/>
      <c r="LQ147" s="26"/>
      <c r="LR147" s="26"/>
      <c r="LS147" s="26"/>
      <c r="LT147" s="26"/>
      <c r="LU147" s="26"/>
      <c r="LV147" s="26"/>
      <c r="LW147" s="26"/>
      <c r="LX147" s="26"/>
      <c r="LY147" s="26"/>
      <c r="LZ147" s="26"/>
      <c r="MA147" s="26"/>
      <c r="MB147" s="26"/>
      <c r="MC147" s="26"/>
      <c r="MD147" s="26"/>
      <c r="ME147" s="26"/>
      <c r="MF147" s="26"/>
      <c r="MG147" s="26"/>
      <c r="MH147" s="26"/>
      <c r="MI147" s="26"/>
      <c r="MJ147" s="26"/>
      <c r="MK147" s="26"/>
      <c r="ML147" s="26"/>
      <c r="MM147" s="26"/>
      <c r="MN147" s="26"/>
      <c r="MO147" s="26"/>
      <c r="MP147" s="26"/>
      <c r="MQ147" s="26"/>
      <c r="MR147" s="26"/>
      <c r="MS147" s="23"/>
      <c r="MT147" s="26"/>
      <c r="MU147" s="26"/>
      <c r="MV147" s="26"/>
      <c r="MW147" s="26"/>
      <c r="MX147" s="26"/>
      <c r="MY147" s="26"/>
      <c r="MZ147" s="26"/>
      <c r="NA147" s="26"/>
      <c r="NB147" s="26"/>
      <c r="NC147" s="26"/>
      <c r="ND147" s="26"/>
      <c r="NE147" s="26"/>
      <c r="NF147" s="26"/>
      <c r="NG147" s="26"/>
      <c r="NH147" s="26"/>
      <c r="NI147" s="26"/>
      <c r="NJ147" s="26"/>
      <c r="NK147" s="26"/>
      <c r="NL147" s="26"/>
      <c r="NM147" s="26"/>
      <c r="NN147" s="26"/>
      <c r="NO147" s="26"/>
      <c r="NP147" s="26"/>
      <c r="NQ147" s="26"/>
      <c r="NR147" s="26"/>
      <c r="NS147" s="26"/>
      <c r="NT147" s="26"/>
      <c r="NU147" s="26"/>
      <c r="NV147" s="26"/>
      <c r="NW147" s="26"/>
      <c r="NX147" s="26"/>
      <c r="NY147" s="26"/>
      <c r="NZ147" s="26"/>
      <c r="OA147" s="26"/>
      <c r="OB147" s="26"/>
      <c r="OC147" s="26"/>
      <c r="OD147" s="26"/>
      <c r="OE147" s="26"/>
      <c r="OF147" s="23"/>
      <c r="OG147" s="26"/>
      <c r="OH147" s="26"/>
      <c r="OI147" s="26"/>
      <c r="OJ147" s="26"/>
      <c r="OK147" s="26"/>
      <c r="OL147" s="26"/>
      <c r="OM147" s="26"/>
      <c r="ON147" s="26"/>
      <c r="OO147" s="26"/>
      <c r="OP147" s="26"/>
      <c r="OQ147" s="26"/>
      <c r="OR147" s="26"/>
      <c r="OS147" s="26"/>
      <c r="OT147" s="26"/>
      <c r="OU147" s="26"/>
      <c r="OV147" s="26"/>
      <c r="OW147" s="26"/>
      <c r="OX147" s="26"/>
      <c r="OY147" s="26"/>
      <c r="OZ147" s="26"/>
      <c r="PA147" s="26"/>
      <c r="PB147" s="26"/>
      <c r="PC147" s="26"/>
      <c r="PD147" s="26"/>
      <c r="PE147" s="26"/>
      <c r="PF147" s="26"/>
      <c r="PG147" s="26"/>
      <c r="PH147" s="26"/>
      <c r="PI147" s="26"/>
      <c r="PJ147" s="26"/>
      <c r="PK147" s="26"/>
      <c r="PL147" s="26"/>
      <c r="PM147" s="26"/>
      <c r="PN147" s="26"/>
      <c r="PO147" s="26"/>
      <c r="PP147" s="26"/>
      <c r="PQ147" s="26"/>
      <c r="PR147" s="26"/>
    </row>
    <row r="148" spans="1:434" x14ac:dyDescent="0.25">
      <c r="A148" s="24"/>
      <c r="B148" s="25" t="s">
        <v>215</v>
      </c>
      <c r="C148" s="24" t="s">
        <v>70</v>
      </c>
      <c r="D148" s="24" t="s">
        <v>76</v>
      </c>
      <c r="E148" s="24"/>
      <c r="F148" s="23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3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3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3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3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  <c r="GR148" s="26"/>
      <c r="GS148" s="23"/>
      <c r="GT148" s="26"/>
      <c r="GU148" s="26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/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3"/>
      <c r="IG148" s="26"/>
      <c r="IH148" s="26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  <c r="JD148" s="26"/>
      <c r="JE148" s="26"/>
      <c r="JF148" s="26"/>
      <c r="JG148" s="26"/>
      <c r="JH148" s="26"/>
      <c r="JI148" s="26"/>
      <c r="JJ148" s="26"/>
      <c r="JK148" s="26"/>
      <c r="JL148" s="26"/>
      <c r="JM148" s="26"/>
      <c r="JN148" s="26"/>
      <c r="JO148" s="26"/>
      <c r="JP148" s="26"/>
      <c r="JQ148" s="26"/>
      <c r="JR148" s="26"/>
      <c r="JS148" s="23"/>
      <c r="JT148" s="26"/>
      <c r="JU148" s="26"/>
      <c r="JV148" s="26"/>
      <c r="JW148" s="26"/>
      <c r="JX148" s="26"/>
      <c r="JY148" s="26"/>
      <c r="JZ148" s="26"/>
      <c r="KA148" s="26"/>
      <c r="KB148" s="26"/>
      <c r="KC148" s="26"/>
      <c r="KD148" s="26"/>
      <c r="KE148" s="26"/>
      <c r="KF148" s="26"/>
      <c r="KG148" s="26"/>
      <c r="KH148" s="26"/>
      <c r="KI148" s="26"/>
      <c r="KJ148" s="26"/>
      <c r="KK148" s="26"/>
      <c r="KL148" s="26"/>
      <c r="KM148" s="26"/>
      <c r="KN148" s="26"/>
      <c r="KO148" s="26"/>
      <c r="KP148" s="26"/>
      <c r="KQ148" s="26"/>
      <c r="KR148" s="26"/>
      <c r="KS148" s="26"/>
      <c r="KT148" s="26"/>
      <c r="KU148" s="26"/>
      <c r="KV148" s="26"/>
      <c r="KW148" s="26"/>
      <c r="KX148" s="26"/>
      <c r="KY148" s="26"/>
      <c r="KZ148" s="26"/>
      <c r="LA148" s="26"/>
      <c r="LB148" s="26"/>
      <c r="LC148" s="26"/>
      <c r="LD148" s="26"/>
      <c r="LE148" s="26"/>
      <c r="LF148" s="23"/>
      <c r="LG148" s="26"/>
      <c r="LH148" s="26"/>
      <c r="LI148" s="26"/>
      <c r="LJ148" s="26"/>
      <c r="LK148" s="26"/>
      <c r="LL148" s="26"/>
      <c r="LM148" s="26"/>
      <c r="LN148" s="26"/>
      <c r="LO148" s="26"/>
      <c r="LP148" s="26"/>
      <c r="LQ148" s="26"/>
      <c r="LR148" s="26"/>
      <c r="LS148" s="26"/>
      <c r="LT148" s="26"/>
      <c r="LU148" s="26"/>
      <c r="LV148" s="26"/>
      <c r="LW148" s="26"/>
      <c r="LX148" s="26"/>
      <c r="LY148" s="26"/>
      <c r="LZ148" s="26"/>
      <c r="MA148" s="26"/>
      <c r="MB148" s="26"/>
      <c r="MC148" s="26"/>
      <c r="MD148" s="26"/>
      <c r="ME148" s="26"/>
      <c r="MF148" s="26"/>
      <c r="MG148" s="26"/>
      <c r="MH148" s="26"/>
      <c r="MI148" s="26"/>
      <c r="MJ148" s="26"/>
      <c r="MK148" s="26"/>
      <c r="ML148" s="26"/>
      <c r="MM148" s="26"/>
      <c r="MN148" s="26"/>
      <c r="MO148" s="26"/>
      <c r="MP148" s="26"/>
      <c r="MQ148" s="26"/>
      <c r="MR148" s="26"/>
      <c r="MS148" s="23"/>
      <c r="MT148" s="26"/>
      <c r="MU148" s="26"/>
      <c r="MV148" s="26"/>
      <c r="MW148" s="26"/>
      <c r="MX148" s="26"/>
      <c r="MY148" s="26"/>
      <c r="MZ148" s="26"/>
      <c r="NA148" s="26"/>
      <c r="NB148" s="26"/>
      <c r="NC148" s="26"/>
      <c r="ND148" s="26"/>
      <c r="NE148" s="26"/>
      <c r="NF148" s="26"/>
      <c r="NG148" s="26"/>
      <c r="NH148" s="26"/>
      <c r="NI148" s="26"/>
      <c r="NJ148" s="26"/>
      <c r="NK148" s="26"/>
      <c r="NL148" s="26"/>
      <c r="NM148" s="26"/>
      <c r="NN148" s="26"/>
      <c r="NO148" s="26"/>
      <c r="NP148" s="26"/>
      <c r="NQ148" s="26"/>
      <c r="NR148" s="26"/>
      <c r="NS148" s="26"/>
      <c r="NT148" s="26"/>
      <c r="NU148" s="26"/>
      <c r="NV148" s="26"/>
      <c r="NW148" s="26"/>
      <c r="NX148" s="26"/>
      <c r="NY148" s="26"/>
      <c r="NZ148" s="26"/>
      <c r="OA148" s="26"/>
      <c r="OB148" s="26"/>
      <c r="OC148" s="26"/>
      <c r="OD148" s="26"/>
      <c r="OE148" s="26"/>
      <c r="OF148" s="23"/>
      <c r="OG148" s="26"/>
      <c r="OH148" s="26"/>
      <c r="OI148" s="26"/>
      <c r="OJ148" s="26"/>
      <c r="OK148" s="26"/>
      <c r="OL148" s="26"/>
      <c r="OM148" s="26"/>
      <c r="ON148" s="26"/>
      <c r="OO148" s="26"/>
      <c r="OP148" s="26"/>
      <c r="OQ148" s="26"/>
      <c r="OR148" s="26"/>
      <c r="OS148" s="26"/>
      <c r="OT148" s="26"/>
      <c r="OU148" s="26"/>
      <c r="OV148" s="26"/>
      <c r="OW148" s="26"/>
      <c r="OX148" s="26"/>
      <c r="OY148" s="26"/>
      <c r="OZ148" s="26"/>
      <c r="PA148" s="26"/>
      <c r="PB148" s="26"/>
      <c r="PC148" s="26"/>
      <c r="PD148" s="26"/>
      <c r="PE148" s="26"/>
      <c r="PF148" s="26"/>
      <c r="PG148" s="26"/>
      <c r="PH148" s="26"/>
      <c r="PI148" s="26"/>
      <c r="PJ148" s="26"/>
      <c r="PK148" s="26"/>
      <c r="PL148" s="26"/>
      <c r="PM148" s="26"/>
      <c r="PN148" s="26"/>
      <c r="PO148" s="26"/>
      <c r="PP148" s="26"/>
      <c r="PQ148" s="26"/>
      <c r="PR148" s="26"/>
    </row>
    <row r="149" spans="1:434" x14ac:dyDescent="0.25">
      <c r="A149" s="24"/>
      <c r="B149" s="25" t="s">
        <v>216</v>
      </c>
      <c r="C149" s="24" t="s">
        <v>70</v>
      </c>
      <c r="D149" s="24" t="s">
        <v>76</v>
      </c>
      <c r="E149" s="24"/>
      <c r="F149" s="23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3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3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3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3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3"/>
      <c r="GT149" s="26"/>
      <c r="GU149" s="26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3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  <c r="JM149" s="26"/>
      <c r="JN149" s="26"/>
      <c r="JO149" s="26"/>
      <c r="JP149" s="26"/>
      <c r="JQ149" s="26"/>
      <c r="JR149" s="26"/>
      <c r="JS149" s="23"/>
      <c r="JT149" s="26"/>
      <c r="JU149" s="26"/>
      <c r="JV149" s="26"/>
      <c r="JW149" s="26"/>
      <c r="JX149" s="26"/>
      <c r="JY149" s="26"/>
      <c r="JZ149" s="26"/>
      <c r="KA149" s="26"/>
      <c r="KB149" s="26"/>
      <c r="KC149" s="26"/>
      <c r="KD149" s="26"/>
      <c r="KE149" s="26"/>
      <c r="KF149" s="26"/>
      <c r="KG149" s="26"/>
      <c r="KH149" s="26"/>
      <c r="KI149" s="26"/>
      <c r="KJ149" s="26"/>
      <c r="KK149" s="26"/>
      <c r="KL149" s="26"/>
      <c r="KM149" s="26"/>
      <c r="KN149" s="26"/>
      <c r="KO149" s="26"/>
      <c r="KP149" s="26"/>
      <c r="KQ149" s="26"/>
      <c r="KR149" s="26"/>
      <c r="KS149" s="26"/>
      <c r="KT149" s="26"/>
      <c r="KU149" s="26"/>
      <c r="KV149" s="26"/>
      <c r="KW149" s="26"/>
      <c r="KX149" s="26"/>
      <c r="KY149" s="26"/>
      <c r="KZ149" s="26"/>
      <c r="LA149" s="26"/>
      <c r="LB149" s="26"/>
      <c r="LC149" s="26"/>
      <c r="LD149" s="26"/>
      <c r="LE149" s="26"/>
      <c r="LF149" s="23"/>
      <c r="LG149" s="26"/>
      <c r="LH149" s="26"/>
      <c r="LI149" s="26"/>
      <c r="LJ149" s="26"/>
      <c r="LK149" s="26"/>
      <c r="LL149" s="26"/>
      <c r="LM149" s="26"/>
      <c r="LN149" s="26"/>
      <c r="LO149" s="26"/>
      <c r="LP149" s="26"/>
      <c r="LQ149" s="26"/>
      <c r="LR149" s="26"/>
      <c r="LS149" s="26"/>
      <c r="LT149" s="26"/>
      <c r="LU149" s="26"/>
      <c r="LV149" s="26"/>
      <c r="LW149" s="26"/>
      <c r="LX149" s="26"/>
      <c r="LY149" s="26"/>
      <c r="LZ149" s="26"/>
      <c r="MA149" s="26"/>
      <c r="MB149" s="26"/>
      <c r="MC149" s="26"/>
      <c r="MD149" s="26"/>
      <c r="ME149" s="26"/>
      <c r="MF149" s="26"/>
      <c r="MG149" s="26"/>
      <c r="MH149" s="26"/>
      <c r="MI149" s="26"/>
      <c r="MJ149" s="26"/>
      <c r="MK149" s="26"/>
      <c r="ML149" s="26"/>
      <c r="MM149" s="26"/>
      <c r="MN149" s="26"/>
      <c r="MO149" s="26"/>
      <c r="MP149" s="26"/>
      <c r="MQ149" s="26"/>
      <c r="MR149" s="26"/>
      <c r="MS149" s="23"/>
      <c r="MT149" s="26"/>
      <c r="MU149" s="26"/>
      <c r="MV149" s="26"/>
      <c r="MW149" s="26"/>
      <c r="MX149" s="26"/>
      <c r="MY149" s="26"/>
      <c r="MZ149" s="26"/>
      <c r="NA149" s="26"/>
      <c r="NB149" s="26"/>
      <c r="NC149" s="26"/>
      <c r="ND149" s="26"/>
      <c r="NE149" s="26"/>
      <c r="NF149" s="26"/>
      <c r="NG149" s="26"/>
      <c r="NH149" s="26"/>
      <c r="NI149" s="26"/>
      <c r="NJ149" s="26"/>
      <c r="NK149" s="26"/>
      <c r="NL149" s="26"/>
      <c r="NM149" s="26"/>
      <c r="NN149" s="26"/>
      <c r="NO149" s="26"/>
      <c r="NP149" s="26"/>
      <c r="NQ149" s="26"/>
      <c r="NR149" s="26"/>
      <c r="NS149" s="26"/>
      <c r="NT149" s="26"/>
      <c r="NU149" s="26"/>
      <c r="NV149" s="26"/>
      <c r="NW149" s="26"/>
      <c r="NX149" s="26"/>
      <c r="NY149" s="26"/>
      <c r="NZ149" s="26"/>
      <c r="OA149" s="26"/>
      <c r="OB149" s="26"/>
      <c r="OC149" s="26"/>
      <c r="OD149" s="26"/>
      <c r="OE149" s="26"/>
      <c r="OF149" s="23"/>
      <c r="OG149" s="26"/>
      <c r="OH149" s="26"/>
      <c r="OI149" s="26"/>
      <c r="OJ149" s="26"/>
      <c r="OK149" s="26"/>
      <c r="OL149" s="26"/>
      <c r="OM149" s="26"/>
      <c r="ON149" s="26"/>
      <c r="OO149" s="26"/>
      <c r="OP149" s="26"/>
      <c r="OQ149" s="26"/>
      <c r="OR149" s="26"/>
      <c r="OS149" s="26"/>
      <c r="OT149" s="26"/>
      <c r="OU149" s="26"/>
      <c r="OV149" s="26"/>
      <c r="OW149" s="26"/>
      <c r="OX149" s="26"/>
      <c r="OY149" s="26"/>
      <c r="OZ149" s="26"/>
      <c r="PA149" s="26"/>
      <c r="PB149" s="26"/>
      <c r="PC149" s="26"/>
      <c r="PD149" s="26"/>
      <c r="PE149" s="26"/>
      <c r="PF149" s="26"/>
      <c r="PG149" s="26"/>
      <c r="PH149" s="26"/>
      <c r="PI149" s="26"/>
      <c r="PJ149" s="26"/>
      <c r="PK149" s="26"/>
      <c r="PL149" s="26"/>
      <c r="PM149" s="26"/>
      <c r="PN149" s="26"/>
      <c r="PO149" s="26"/>
      <c r="PP149" s="26"/>
      <c r="PQ149" s="26"/>
      <c r="PR149" s="26"/>
    </row>
    <row r="150" spans="1:434" x14ac:dyDescent="0.25">
      <c r="A150" s="24"/>
      <c r="B150" s="25" t="s">
        <v>210</v>
      </c>
      <c r="C150" s="24" t="s">
        <v>66</v>
      </c>
      <c r="D150" s="24" t="s">
        <v>76</v>
      </c>
      <c r="E150" s="24"/>
      <c r="F150" s="23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3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3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3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3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3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3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3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3"/>
      <c r="LG150" s="26"/>
      <c r="LH150" s="26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3"/>
      <c r="MT150" s="26"/>
      <c r="MU150" s="26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3"/>
      <c r="OG150" s="26"/>
      <c r="OH150" s="26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</row>
    <row r="151" spans="1:434" x14ac:dyDescent="0.25">
      <c r="A151" s="24"/>
      <c r="B151" s="25" t="s">
        <v>217</v>
      </c>
      <c r="C151" s="24" t="s">
        <v>70</v>
      </c>
      <c r="D151" s="24" t="s">
        <v>76</v>
      </c>
      <c r="E151" s="24"/>
      <c r="F151" s="23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3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3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3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3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3"/>
      <c r="GT151" s="26"/>
      <c r="GU151" s="26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26"/>
      <c r="HG151" s="26"/>
      <c r="HH151" s="26"/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3"/>
      <c r="IG151" s="26"/>
      <c r="IH151" s="26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  <c r="JD151" s="26"/>
      <c r="JE151" s="26"/>
      <c r="JF151" s="26"/>
      <c r="JG151" s="26"/>
      <c r="JH151" s="26"/>
      <c r="JI151" s="26"/>
      <c r="JJ151" s="26"/>
      <c r="JK151" s="26"/>
      <c r="JL151" s="26"/>
      <c r="JM151" s="26"/>
      <c r="JN151" s="26"/>
      <c r="JO151" s="26"/>
      <c r="JP151" s="26"/>
      <c r="JQ151" s="26"/>
      <c r="JR151" s="26"/>
      <c r="JS151" s="23"/>
      <c r="JT151" s="26"/>
      <c r="JU151" s="26"/>
      <c r="JV151" s="26"/>
      <c r="JW151" s="26"/>
      <c r="JX151" s="26"/>
      <c r="JY151" s="26"/>
      <c r="JZ151" s="26"/>
      <c r="KA151" s="26"/>
      <c r="KB151" s="26"/>
      <c r="KC151" s="26"/>
      <c r="KD151" s="26"/>
      <c r="KE151" s="26"/>
      <c r="KF151" s="26"/>
      <c r="KG151" s="26"/>
      <c r="KH151" s="26"/>
      <c r="KI151" s="26"/>
      <c r="KJ151" s="26"/>
      <c r="KK151" s="26"/>
      <c r="KL151" s="26"/>
      <c r="KM151" s="26"/>
      <c r="KN151" s="26"/>
      <c r="KO151" s="26"/>
      <c r="KP151" s="26"/>
      <c r="KQ151" s="26"/>
      <c r="KR151" s="26"/>
      <c r="KS151" s="26"/>
      <c r="KT151" s="26"/>
      <c r="KU151" s="26"/>
      <c r="KV151" s="26"/>
      <c r="KW151" s="26"/>
      <c r="KX151" s="26"/>
      <c r="KY151" s="26"/>
      <c r="KZ151" s="26"/>
      <c r="LA151" s="26"/>
      <c r="LB151" s="26"/>
      <c r="LC151" s="26"/>
      <c r="LD151" s="26"/>
      <c r="LE151" s="26"/>
      <c r="LF151" s="23"/>
      <c r="LG151" s="26"/>
      <c r="LH151" s="26"/>
      <c r="LI151" s="26"/>
      <c r="LJ151" s="26"/>
      <c r="LK151" s="26"/>
      <c r="LL151" s="26"/>
      <c r="LM151" s="26"/>
      <c r="LN151" s="26"/>
      <c r="LO151" s="26"/>
      <c r="LP151" s="26"/>
      <c r="LQ151" s="26"/>
      <c r="LR151" s="26"/>
      <c r="LS151" s="26"/>
      <c r="LT151" s="26"/>
      <c r="LU151" s="26"/>
      <c r="LV151" s="26"/>
      <c r="LW151" s="26"/>
      <c r="LX151" s="26"/>
      <c r="LY151" s="26"/>
      <c r="LZ151" s="26"/>
      <c r="MA151" s="26"/>
      <c r="MB151" s="26"/>
      <c r="MC151" s="26"/>
      <c r="MD151" s="26"/>
      <c r="ME151" s="26"/>
      <c r="MF151" s="26"/>
      <c r="MG151" s="26"/>
      <c r="MH151" s="26"/>
      <c r="MI151" s="26"/>
      <c r="MJ151" s="26"/>
      <c r="MK151" s="26"/>
      <c r="ML151" s="26"/>
      <c r="MM151" s="26"/>
      <c r="MN151" s="26"/>
      <c r="MO151" s="26"/>
      <c r="MP151" s="26"/>
      <c r="MQ151" s="26"/>
      <c r="MR151" s="26"/>
      <c r="MS151" s="23"/>
      <c r="MT151" s="26"/>
      <c r="MU151" s="26"/>
      <c r="MV151" s="26"/>
      <c r="MW151" s="26"/>
      <c r="MX151" s="26"/>
      <c r="MY151" s="26"/>
      <c r="MZ151" s="26"/>
      <c r="NA151" s="26"/>
      <c r="NB151" s="26"/>
      <c r="NC151" s="26"/>
      <c r="ND151" s="26"/>
      <c r="NE151" s="26"/>
      <c r="NF151" s="26"/>
      <c r="NG151" s="26"/>
      <c r="NH151" s="26"/>
      <c r="NI151" s="26"/>
      <c r="NJ151" s="26"/>
      <c r="NK151" s="26"/>
      <c r="NL151" s="26"/>
      <c r="NM151" s="26"/>
      <c r="NN151" s="26"/>
      <c r="NO151" s="26"/>
      <c r="NP151" s="26"/>
      <c r="NQ151" s="26"/>
      <c r="NR151" s="26"/>
      <c r="NS151" s="26"/>
      <c r="NT151" s="26"/>
      <c r="NU151" s="26"/>
      <c r="NV151" s="26"/>
      <c r="NW151" s="26"/>
      <c r="NX151" s="26"/>
      <c r="NY151" s="26"/>
      <c r="NZ151" s="26"/>
      <c r="OA151" s="26"/>
      <c r="OB151" s="26"/>
      <c r="OC151" s="26"/>
      <c r="OD151" s="26"/>
      <c r="OE151" s="26"/>
      <c r="OF151" s="23"/>
      <c r="OG151" s="26"/>
      <c r="OH151" s="26"/>
      <c r="OI151" s="26"/>
      <c r="OJ151" s="26"/>
      <c r="OK151" s="26"/>
      <c r="OL151" s="26"/>
      <c r="OM151" s="26"/>
      <c r="ON151" s="26"/>
      <c r="OO151" s="26"/>
      <c r="OP151" s="26"/>
      <c r="OQ151" s="26"/>
      <c r="OR151" s="26"/>
      <c r="OS151" s="26"/>
      <c r="OT151" s="26"/>
      <c r="OU151" s="26"/>
      <c r="OV151" s="26"/>
      <c r="OW151" s="26"/>
      <c r="OX151" s="26"/>
      <c r="OY151" s="26"/>
      <c r="OZ151" s="26"/>
      <c r="PA151" s="26"/>
      <c r="PB151" s="26"/>
      <c r="PC151" s="26"/>
      <c r="PD151" s="26"/>
      <c r="PE151" s="26"/>
      <c r="PF151" s="26"/>
      <c r="PG151" s="26"/>
      <c r="PH151" s="26"/>
      <c r="PI151" s="26"/>
      <c r="PJ151" s="26"/>
      <c r="PK151" s="26"/>
      <c r="PL151" s="26"/>
      <c r="PM151" s="26"/>
      <c r="PN151" s="26"/>
      <c r="PO151" s="26"/>
      <c r="PP151" s="26"/>
      <c r="PQ151" s="26"/>
      <c r="PR151" s="26"/>
    </row>
    <row r="152" spans="1:434" ht="21.95" customHeight="1" x14ac:dyDescent="0.25">
      <c r="A152" s="87" t="s">
        <v>218</v>
      </c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88"/>
      <c r="GB152" s="88"/>
      <c r="GC152" s="88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88"/>
      <c r="GO152" s="88"/>
      <c r="GP152" s="88"/>
      <c r="GQ152" s="88"/>
      <c r="GR152" s="88"/>
      <c r="GS152" s="88"/>
      <c r="GT152" s="88"/>
      <c r="GU152" s="88"/>
      <c r="GV152" s="88"/>
      <c r="GW152" s="88"/>
      <c r="GX152" s="88"/>
      <c r="GY152" s="88"/>
      <c r="GZ152" s="88"/>
      <c r="HA152" s="88"/>
      <c r="HB152" s="88"/>
      <c r="HC152" s="88"/>
      <c r="HD152" s="88"/>
      <c r="HE152" s="88"/>
      <c r="HF152" s="88"/>
      <c r="HG152" s="88"/>
      <c r="HH152" s="88"/>
      <c r="HI152" s="88"/>
      <c r="HJ152" s="88"/>
      <c r="HK152" s="88"/>
      <c r="HL152" s="88"/>
      <c r="HM152" s="88"/>
      <c r="HN152" s="88"/>
      <c r="HO152" s="88"/>
      <c r="HP152" s="88"/>
      <c r="HQ152" s="88"/>
      <c r="HR152" s="88"/>
      <c r="HS152" s="88"/>
      <c r="HT152" s="88"/>
      <c r="HU152" s="88"/>
      <c r="HV152" s="88"/>
      <c r="HW152" s="88"/>
      <c r="HX152" s="88"/>
      <c r="HY152" s="88"/>
      <c r="HZ152" s="88"/>
      <c r="IA152" s="88"/>
      <c r="IB152" s="88"/>
      <c r="IC152" s="88"/>
      <c r="ID152" s="88"/>
      <c r="IE152" s="8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88"/>
      <c r="IU152" s="88"/>
      <c r="IV152" s="88"/>
      <c r="IW152" s="88"/>
      <c r="IX152" s="88"/>
      <c r="IY152" s="88"/>
      <c r="IZ152" s="88"/>
      <c r="JA152" s="88"/>
      <c r="JB152" s="88"/>
      <c r="JC152" s="88"/>
      <c r="JD152" s="88"/>
      <c r="JE152" s="88"/>
      <c r="JF152" s="88"/>
      <c r="JG152" s="88"/>
      <c r="JH152" s="88"/>
      <c r="JI152" s="88"/>
      <c r="JJ152" s="88"/>
      <c r="JK152" s="88"/>
      <c r="JL152" s="88"/>
      <c r="JM152" s="88"/>
      <c r="JN152" s="88"/>
      <c r="JO152" s="88"/>
      <c r="JP152" s="88"/>
      <c r="JQ152" s="88"/>
      <c r="JR152" s="88"/>
      <c r="JS152" s="88"/>
      <c r="JT152" s="88"/>
      <c r="JU152" s="88"/>
      <c r="JV152" s="88"/>
      <c r="JW152" s="88"/>
      <c r="JX152" s="88"/>
      <c r="JY152" s="88"/>
      <c r="JZ152" s="88"/>
      <c r="KA152" s="88"/>
      <c r="KB152" s="88"/>
      <c r="KC152" s="88"/>
      <c r="KD152" s="88"/>
      <c r="KE152" s="88"/>
      <c r="KF152" s="88"/>
      <c r="KG152" s="88"/>
      <c r="KH152" s="88"/>
      <c r="KI152" s="88"/>
      <c r="KJ152" s="88"/>
      <c r="KK152" s="88"/>
      <c r="KL152" s="88"/>
      <c r="KM152" s="88"/>
      <c r="KN152" s="88"/>
      <c r="KO152" s="88"/>
      <c r="KP152" s="88"/>
      <c r="KQ152" s="88"/>
      <c r="KR152" s="88"/>
      <c r="KS152" s="88"/>
      <c r="KT152" s="88"/>
      <c r="KU152" s="88"/>
      <c r="KV152" s="88"/>
      <c r="KW152" s="88"/>
      <c r="KX152" s="88"/>
      <c r="KY152" s="88"/>
      <c r="KZ152" s="88"/>
      <c r="LA152" s="88"/>
      <c r="LB152" s="88"/>
      <c r="LC152" s="88"/>
      <c r="LD152" s="88"/>
      <c r="LE152" s="88"/>
      <c r="LF152" s="88"/>
      <c r="LG152" s="88"/>
      <c r="LH152" s="88"/>
      <c r="LI152" s="88"/>
      <c r="LJ152" s="88"/>
      <c r="LK152" s="88"/>
      <c r="LL152" s="88"/>
      <c r="LM152" s="88"/>
      <c r="LN152" s="88"/>
      <c r="LO152" s="88"/>
      <c r="LP152" s="88"/>
      <c r="LQ152" s="88"/>
      <c r="LR152" s="88"/>
      <c r="LS152" s="88"/>
      <c r="LT152" s="88"/>
      <c r="LU152" s="88"/>
      <c r="LV152" s="88"/>
      <c r="LW152" s="88"/>
      <c r="LX152" s="88"/>
      <c r="LY152" s="88"/>
      <c r="LZ152" s="88"/>
      <c r="MA152" s="88"/>
      <c r="MB152" s="88"/>
      <c r="MC152" s="88"/>
      <c r="MD152" s="88"/>
      <c r="ME152" s="88"/>
      <c r="MF152" s="88"/>
      <c r="MG152" s="88"/>
      <c r="MH152" s="88"/>
      <c r="MI152" s="88"/>
      <c r="MJ152" s="88"/>
      <c r="MK152" s="88"/>
      <c r="ML152" s="88"/>
      <c r="MM152" s="88"/>
      <c r="MN152" s="88"/>
      <c r="MO152" s="88"/>
      <c r="MP152" s="88"/>
      <c r="MQ152" s="88"/>
      <c r="MR152" s="88"/>
      <c r="MS152" s="88"/>
      <c r="MT152" s="88"/>
      <c r="MU152" s="88"/>
      <c r="MV152" s="88"/>
      <c r="MW152" s="88"/>
      <c r="MX152" s="88"/>
      <c r="MY152" s="88"/>
      <c r="MZ152" s="88"/>
      <c r="NA152" s="88"/>
      <c r="NB152" s="88"/>
      <c r="NC152" s="88"/>
      <c r="ND152" s="88"/>
      <c r="NE152" s="88"/>
      <c r="NF152" s="88"/>
      <c r="NG152" s="88"/>
      <c r="NH152" s="88"/>
      <c r="NI152" s="88"/>
      <c r="NJ152" s="88"/>
      <c r="NK152" s="88"/>
      <c r="NL152" s="88"/>
      <c r="NM152" s="88"/>
      <c r="NN152" s="88"/>
      <c r="NO152" s="88"/>
      <c r="NP152" s="88"/>
      <c r="NQ152" s="88"/>
      <c r="NR152" s="88"/>
      <c r="NS152" s="88"/>
      <c r="NT152" s="88"/>
      <c r="NU152" s="88"/>
      <c r="NV152" s="88"/>
      <c r="NW152" s="88"/>
      <c r="NX152" s="88"/>
      <c r="NY152" s="88"/>
      <c r="NZ152" s="88"/>
      <c r="OA152" s="88"/>
      <c r="OB152" s="88"/>
      <c r="OC152" s="88"/>
      <c r="OD152" s="88"/>
      <c r="OE152" s="88"/>
      <c r="OF152" s="88"/>
      <c r="OG152" s="88"/>
      <c r="OH152" s="88"/>
      <c r="OI152" s="88"/>
      <c r="OJ152" s="88"/>
      <c r="OK152" s="88"/>
      <c r="OL152" s="88"/>
      <c r="OM152" s="88"/>
      <c r="ON152" s="88"/>
      <c r="OO152" s="88"/>
      <c r="OP152" s="88"/>
      <c r="OQ152" s="88"/>
      <c r="OR152" s="88"/>
      <c r="OS152" s="88"/>
      <c r="OT152" s="88"/>
      <c r="OU152" s="88"/>
      <c r="OV152" s="88"/>
      <c r="OW152" s="88"/>
      <c r="OX152" s="88"/>
      <c r="OY152" s="88"/>
      <c r="OZ152" s="88"/>
      <c r="PA152" s="88"/>
      <c r="PB152" s="88"/>
      <c r="PC152" s="88"/>
      <c r="PD152" s="88"/>
      <c r="PE152" s="88"/>
      <c r="PF152" s="88"/>
      <c r="PG152" s="88"/>
      <c r="PH152" s="88"/>
      <c r="PI152" s="88"/>
      <c r="PJ152" s="88"/>
      <c r="PK152" s="88"/>
      <c r="PL152" s="88"/>
      <c r="PM152" s="88"/>
      <c r="PN152" s="88"/>
      <c r="PO152" s="88"/>
      <c r="PP152" s="88"/>
      <c r="PQ152" s="88"/>
      <c r="PR152" s="89"/>
    </row>
    <row r="153" spans="1:434" x14ac:dyDescent="0.25">
      <c r="A153" s="24"/>
      <c r="B153" s="25" t="s">
        <v>219</v>
      </c>
      <c r="C153" s="24" t="s">
        <v>70</v>
      </c>
      <c r="D153" s="24" t="s">
        <v>76</v>
      </c>
      <c r="E153" s="24"/>
      <c r="F153" s="23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3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3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3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3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  <c r="GR153" s="26"/>
      <c r="GS153" s="23"/>
      <c r="GT153" s="26"/>
      <c r="GU153" s="26"/>
      <c r="GV153" s="26"/>
      <c r="GW153" s="26"/>
      <c r="GX153" s="26"/>
      <c r="GY153" s="26"/>
      <c r="GZ153" s="26"/>
      <c r="HA153" s="26"/>
      <c r="HB153" s="26"/>
      <c r="HC153" s="26"/>
      <c r="HD153" s="26"/>
      <c r="HE153" s="26"/>
      <c r="HF153" s="26"/>
      <c r="HG153" s="26"/>
      <c r="HH153" s="26"/>
      <c r="HI153" s="26"/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3"/>
      <c r="IG153" s="26"/>
      <c r="IH153" s="26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  <c r="JD153" s="26"/>
      <c r="JE153" s="26"/>
      <c r="JF153" s="26"/>
      <c r="JG153" s="26"/>
      <c r="JH153" s="26"/>
      <c r="JI153" s="26"/>
      <c r="JJ153" s="26"/>
      <c r="JK153" s="26"/>
      <c r="JL153" s="26"/>
      <c r="JM153" s="26"/>
      <c r="JN153" s="26"/>
      <c r="JO153" s="26"/>
      <c r="JP153" s="26"/>
      <c r="JQ153" s="26"/>
      <c r="JR153" s="26"/>
      <c r="JS153" s="23"/>
      <c r="JT153" s="26"/>
      <c r="JU153" s="26"/>
      <c r="JV153" s="26"/>
      <c r="JW153" s="26"/>
      <c r="JX153" s="26"/>
      <c r="JY153" s="26"/>
      <c r="JZ153" s="26"/>
      <c r="KA153" s="26"/>
      <c r="KB153" s="26"/>
      <c r="KC153" s="26"/>
      <c r="KD153" s="26"/>
      <c r="KE153" s="26"/>
      <c r="KF153" s="26"/>
      <c r="KG153" s="26"/>
      <c r="KH153" s="26"/>
      <c r="KI153" s="26"/>
      <c r="KJ153" s="26"/>
      <c r="KK153" s="26"/>
      <c r="KL153" s="26"/>
      <c r="KM153" s="26"/>
      <c r="KN153" s="26"/>
      <c r="KO153" s="26"/>
      <c r="KP153" s="26"/>
      <c r="KQ153" s="26"/>
      <c r="KR153" s="26"/>
      <c r="KS153" s="26"/>
      <c r="KT153" s="26"/>
      <c r="KU153" s="26"/>
      <c r="KV153" s="26"/>
      <c r="KW153" s="26"/>
      <c r="KX153" s="26"/>
      <c r="KY153" s="26"/>
      <c r="KZ153" s="26"/>
      <c r="LA153" s="26"/>
      <c r="LB153" s="26"/>
      <c r="LC153" s="26"/>
      <c r="LD153" s="26"/>
      <c r="LE153" s="26"/>
      <c r="LF153" s="23"/>
      <c r="LG153" s="26"/>
      <c r="LH153" s="26"/>
      <c r="LI153" s="26"/>
      <c r="LJ153" s="26"/>
      <c r="LK153" s="26"/>
      <c r="LL153" s="26"/>
      <c r="LM153" s="26"/>
      <c r="LN153" s="26"/>
      <c r="LO153" s="26"/>
      <c r="LP153" s="26"/>
      <c r="LQ153" s="26"/>
      <c r="LR153" s="26"/>
      <c r="LS153" s="26"/>
      <c r="LT153" s="26"/>
      <c r="LU153" s="26"/>
      <c r="LV153" s="26"/>
      <c r="LW153" s="26"/>
      <c r="LX153" s="26"/>
      <c r="LY153" s="26"/>
      <c r="LZ153" s="26"/>
      <c r="MA153" s="26"/>
      <c r="MB153" s="26"/>
      <c r="MC153" s="26"/>
      <c r="MD153" s="26"/>
      <c r="ME153" s="26"/>
      <c r="MF153" s="26"/>
      <c r="MG153" s="26"/>
      <c r="MH153" s="26"/>
      <c r="MI153" s="26"/>
      <c r="MJ153" s="26"/>
      <c r="MK153" s="26"/>
      <c r="ML153" s="26"/>
      <c r="MM153" s="26"/>
      <c r="MN153" s="26"/>
      <c r="MO153" s="26"/>
      <c r="MP153" s="26"/>
      <c r="MQ153" s="26"/>
      <c r="MR153" s="26"/>
      <c r="MS153" s="23"/>
      <c r="MT153" s="26"/>
      <c r="MU153" s="26"/>
      <c r="MV153" s="26"/>
      <c r="MW153" s="26"/>
      <c r="MX153" s="26"/>
      <c r="MY153" s="26"/>
      <c r="MZ153" s="26"/>
      <c r="NA153" s="26"/>
      <c r="NB153" s="26"/>
      <c r="NC153" s="26"/>
      <c r="ND153" s="26"/>
      <c r="NE153" s="26"/>
      <c r="NF153" s="26"/>
      <c r="NG153" s="26"/>
      <c r="NH153" s="26"/>
      <c r="NI153" s="26"/>
      <c r="NJ153" s="26"/>
      <c r="NK153" s="26"/>
      <c r="NL153" s="26"/>
      <c r="NM153" s="26"/>
      <c r="NN153" s="26"/>
      <c r="NO153" s="26"/>
      <c r="NP153" s="26"/>
      <c r="NQ153" s="26"/>
      <c r="NR153" s="26"/>
      <c r="NS153" s="26"/>
      <c r="NT153" s="26"/>
      <c r="NU153" s="26"/>
      <c r="NV153" s="26"/>
      <c r="NW153" s="26"/>
      <c r="NX153" s="26"/>
      <c r="NY153" s="26"/>
      <c r="NZ153" s="26"/>
      <c r="OA153" s="26"/>
      <c r="OB153" s="26"/>
      <c r="OC153" s="26"/>
      <c r="OD153" s="26"/>
      <c r="OE153" s="26"/>
      <c r="OF153" s="23"/>
      <c r="OG153" s="26"/>
      <c r="OH153" s="26"/>
      <c r="OI153" s="26"/>
      <c r="OJ153" s="26"/>
      <c r="OK153" s="26"/>
      <c r="OL153" s="26"/>
      <c r="OM153" s="26"/>
      <c r="ON153" s="26"/>
      <c r="OO153" s="26"/>
      <c r="OP153" s="26"/>
      <c r="OQ153" s="26"/>
      <c r="OR153" s="26"/>
      <c r="OS153" s="26"/>
      <c r="OT153" s="26"/>
      <c r="OU153" s="26"/>
      <c r="OV153" s="26"/>
      <c r="OW153" s="26"/>
      <c r="OX153" s="26"/>
      <c r="OY153" s="26"/>
      <c r="OZ153" s="26"/>
      <c r="PA153" s="26"/>
      <c r="PB153" s="26"/>
      <c r="PC153" s="26"/>
      <c r="PD153" s="26"/>
      <c r="PE153" s="26"/>
      <c r="PF153" s="26"/>
      <c r="PG153" s="26"/>
      <c r="PH153" s="26"/>
      <c r="PI153" s="26"/>
      <c r="PJ153" s="26"/>
      <c r="PK153" s="26"/>
      <c r="PL153" s="26"/>
      <c r="PM153" s="26"/>
      <c r="PN153" s="26"/>
      <c r="PO153" s="26"/>
      <c r="PP153" s="26"/>
      <c r="PQ153" s="26"/>
      <c r="PR153" s="26"/>
    </row>
    <row r="154" spans="1:434" x14ac:dyDescent="0.25">
      <c r="A154" s="24"/>
      <c r="B154" s="25" t="s">
        <v>220</v>
      </c>
      <c r="C154" s="24" t="s">
        <v>70</v>
      </c>
      <c r="D154" s="24" t="s">
        <v>76</v>
      </c>
      <c r="E154" s="24"/>
      <c r="F154" s="23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3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3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3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3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3"/>
      <c r="GT154" s="26"/>
      <c r="GU154" s="26"/>
      <c r="GV154" s="26"/>
      <c r="GW154" s="26"/>
      <c r="GX154" s="26"/>
      <c r="GY154" s="26"/>
      <c r="GZ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3"/>
      <c r="IG154" s="26"/>
      <c r="IH154" s="26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  <c r="JD154" s="26"/>
      <c r="JE154" s="26"/>
      <c r="JF154" s="26"/>
      <c r="JG154" s="26"/>
      <c r="JH154" s="26"/>
      <c r="JI154" s="26"/>
      <c r="JJ154" s="26"/>
      <c r="JK154" s="26"/>
      <c r="JL154" s="26"/>
      <c r="JM154" s="26"/>
      <c r="JN154" s="26"/>
      <c r="JO154" s="26"/>
      <c r="JP154" s="26"/>
      <c r="JQ154" s="26"/>
      <c r="JR154" s="26"/>
      <c r="JS154" s="23"/>
      <c r="JT154" s="26"/>
      <c r="JU154" s="26"/>
      <c r="JV154" s="26"/>
      <c r="JW154" s="26"/>
      <c r="JX154" s="26"/>
      <c r="JY154" s="26"/>
      <c r="JZ154" s="26"/>
      <c r="KA154" s="26"/>
      <c r="KB154" s="26"/>
      <c r="KC154" s="26"/>
      <c r="KD154" s="26"/>
      <c r="KE154" s="26"/>
      <c r="KF154" s="26"/>
      <c r="KG154" s="26"/>
      <c r="KH154" s="26"/>
      <c r="KI154" s="26"/>
      <c r="KJ154" s="26"/>
      <c r="KK154" s="26"/>
      <c r="KL154" s="26"/>
      <c r="KM154" s="26"/>
      <c r="KN154" s="26"/>
      <c r="KO154" s="26"/>
      <c r="KP154" s="26"/>
      <c r="KQ154" s="26"/>
      <c r="KR154" s="26"/>
      <c r="KS154" s="26"/>
      <c r="KT154" s="26"/>
      <c r="KU154" s="26"/>
      <c r="KV154" s="26"/>
      <c r="KW154" s="26"/>
      <c r="KX154" s="26"/>
      <c r="KY154" s="26"/>
      <c r="KZ154" s="26"/>
      <c r="LA154" s="26"/>
      <c r="LB154" s="26"/>
      <c r="LC154" s="26"/>
      <c r="LD154" s="26"/>
      <c r="LE154" s="26"/>
      <c r="LF154" s="23"/>
      <c r="LG154" s="26"/>
      <c r="LH154" s="26"/>
      <c r="LI154" s="26"/>
      <c r="LJ154" s="26"/>
      <c r="LK154" s="26"/>
      <c r="LL154" s="26"/>
      <c r="LM154" s="26"/>
      <c r="LN154" s="26"/>
      <c r="LO154" s="26"/>
      <c r="LP154" s="26"/>
      <c r="LQ154" s="26"/>
      <c r="LR154" s="26"/>
      <c r="LS154" s="26"/>
      <c r="LT154" s="26"/>
      <c r="LU154" s="26"/>
      <c r="LV154" s="26"/>
      <c r="LW154" s="26"/>
      <c r="LX154" s="26"/>
      <c r="LY154" s="26"/>
      <c r="LZ154" s="26"/>
      <c r="MA154" s="26"/>
      <c r="MB154" s="26"/>
      <c r="MC154" s="26"/>
      <c r="MD154" s="26"/>
      <c r="ME154" s="26"/>
      <c r="MF154" s="26"/>
      <c r="MG154" s="26"/>
      <c r="MH154" s="26"/>
      <c r="MI154" s="26"/>
      <c r="MJ154" s="26"/>
      <c r="MK154" s="26"/>
      <c r="ML154" s="26"/>
      <c r="MM154" s="26"/>
      <c r="MN154" s="26"/>
      <c r="MO154" s="26"/>
      <c r="MP154" s="26"/>
      <c r="MQ154" s="26"/>
      <c r="MR154" s="26"/>
      <c r="MS154" s="23"/>
      <c r="MT154" s="26"/>
      <c r="MU154" s="26"/>
      <c r="MV154" s="26"/>
      <c r="MW154" s="26"/>
      <c r="MX154" s="26"/>
      <c r="MY154" s="26"/>
      <c r="MZ154" s="26"/>
      <c r="NA154" s="26"/>
      <c r="NB154" s="26"/>
      <c r="NC154" s="26"/>
      <c r="ND154" s="26"/>
      <c r="NE154" s="26"/>
      <c r="NF154" s="26"/>
      <c r="NG154" s="26"/>
      <c r="NH154" s="26"/>
      <c r="NI154" s="26"/>
      <c r="NJ154" s="26"/>
      <c r="NK154" s="26"/>
      <c r="NL154" s="26"/>
      <c r="NM154" s="26"/>
      <c r="NN154" s="26"/>
      <c r="NO154" s="26"/>
      <c r="NP154" s="26"/>
      <c r="NQ154" s="26"/>
      <c r="NR154" s="26"/>
      <c r="NS154" s="26"/>
      <c r="NT154" s="26"/>
      <c r="NU154" s="26"/>
      <c r="NV154" s="26"/>
      <c r="NW154" s="26"/>
      <c r="NX154" s="26"/>
      <c r="NY154" s="26"/>
      <c r="NZ154" s="26"/>
      <c r="OA154" s="26"/>
      <c r="OB154" s="26"/>
      <c r="OC154" s="26"/>
      <c r="OD154" s="26"/>
      <c r="OE154" s="26"/>
      <c r="OF154" s="23"/>
      <c r="OG154" s="26"/>
      <c r="OH154" s="26"/>
      <c r="OI154" s="26"/>
      <c r="OJ154" s="26"/>
      <c r="OK154" s="26"/>
      <c r="OL154" s="26"/>
      <c r="OM154" s="26"/>
      <c r="ON154" s="26"/>
      <c r="OO154" s="26"/>
      <c r="OP154" s="26"/>
      <c r="OQ154" s="26"/>
      <c r="OR154" s="26"/>
      <c r="OS154" s="26"/>
      <c r="OT154" s="26"/>
      <c r="OU154" s="26"/>
      <c r="OV154" s="26"/>
      <c r="OW154" s="26"/>
      <c r="OX154" s="26"/>
      <c r="OY154" s="26"/>
      <c r="OZ154" s="26"/>
      <c r="PA154" s="26"/>
      <c r="PB154" s="26"/>
      <c r="PC154" s="26"/>
      <c r="PD154" s="26"/>
      <c r="PE154" s="26"/>
      <c r="PF154" s="26"/>
      <c r="PG154" s="26"/>
      <c r="PH154" s="26"/>
      <c r="PI154" s="26"/>
      <c r="PJ154" s="26"/>
      <c r="PK154" s="26"/>
      <c r="PL154" s="26"/>
      <c r="PM154" s="26"/>
      <c r="PN154" s="26"/>
      <c r="PO154" s="26"/>
      <c r="PP154" s="26"/>
      <c r="PQ154" s="26"/>
      <c r="PR154" s="26"/>
    </row>
    <row r="155" spans="1:434" x14ac:dyDescent="0.25">
      <c r="A155" s="24"/>
      <c r="B155" s="25" t="s">
        <v>221</v>
      </c>
      <c r="C155" s="24" t="s">
        <v>70</v>
      </c>
      <c r="D155" s="24" t="s">
        <v>76</v>
      </c>
      <c r="E155" s="24"/>
      <c r="F155" s="23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3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3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3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3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3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3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26"/>
      <c r="JG155" s="26"/>
      <c r="JH155" s="26"/>
      <c r="JI155" s="26"/>
      <c r="JJ155" s="26"/>
      <c r="JK155" s="26"/>
      <c r="JL155" s="26"/>
      <c r="JM155" s="26"/>
      <c r="JN155" s="26"/>
      <c r="JO155" s="26"/>
      <c r="JP155" s="26"/>
      <c r="JQ155" s="26"/>
      <c r="JR155" s="26"/>
      <c r="JS155" s="23"/>
      <c r="JT155" s="26"/>
      <c r="JU155" s="26"/>
      <c r="JV155" s="26"/>
      <c r="JW155" s="26"/>
      <c r="JX155" s="26"/>
      <c r="JY155" s="26"/>
      <c r="JZ155" s="26"/>
      <c r="KA155" s="26"/>
      <c r="KB155" s="26"/>
      <c r="KC155" s="26"/>
      <c r="KD155" s="26"/>
      <c r="KE155" s="26"/>
      <c r="KF155" s="26"/>
      <c r="KG155" s="26"/>
      <c r="KH155" s="26"/>
      <c r="KI155" s="26"/>
      <c r="KJ155" s="26"/>
      <c r="KK155" s="26"/>
      <c r="KL155" s="26"/>
      <c r="KM155" s="26"/>
      <c r="KN155" s="26"/>
      <c r="KO155" s="26"/>
      <c r="KP155" s="26"/>
      <c r="KQ155" s="26"/>
      <c r="KR155" s="26"/>
      <c r="KS155" s="26"/>
      <c r="KT155" s="26"/>
      <c r="KU155" s="26"/>
      <c r="KV155" s="26"/>
      <c r="KW155" s="26"/>
      <c r="KX155" s="26"/>
      <c r="KY155" s="26"/>
      <c r="KZ155" s="26"/>
      <c r="LA155" s="26"/>
      <c r="LB155" s="26"/>
      <c r="LC155" s="26"/>
      <c r="LD155" s="26"/>
      <c r="LE155" s="26"/>
      <c r="LF155" s="23"/>
      <c r="LG155" s="26"/>
      <c r="LH155" s="26"/>
      <c r="LI155" s="26"/>
      <c r="LJ155" s="26"/>
      <c r="LK155" s="26"/>
      <c r="LL155" s="26"/>
      <c r="LM155" s="26"/>
      <c r="LN155" s="26"/>
      <c r="LO155" s="26"/>
      <c r="LP155" s="26"/>
      <c r="LQ155" s="26"/>
      <c r="LR155" s="26"/>
      <c r="LS155" s="26"/>
      <c r="LT155" s="26"/>
      <c r="LU155" s="26"/>
      <c r="LV155" s="26"/>
      <c r="LW155" s="26"/>
      <c r="LX155" s="26"/>
      <c r="LY155" s="26"/>
      <c r="LZ155" s="26"/>
      <c r="MA155" s="26"/>
      <c r="MB155" s="26"/>
      <c r="MC155" s="26"/>
      <c r="MD155" s="26"/>
      <c r="ME155" s="26"/>
      <c r="MF155" s="26"/>
      <c r="MG155" s="26"/>
      <c r="MH155" s="26"/>
      <c r="MI155" s="26"/>
      <c r="MJ155" s="26"/>
      <c r="MK155" s="26"/>
      <c r="ML155" s="26"/>
      <c r="MM155" s="26"/>
      <c r="MN155" s="26"/>
      <c r="MO155" s="26"/>
      <c r="MP155" s="26"/>
      <c r="MQ155" s="26"/>
      <c r="MR155" s="26"/>
      <c r="MS155" s="23"/>
      <c r="MT155" s="26"/>
      <c r="MU155" s="26"/>
      <c r="MV155" s="26"/>
      <c r="MW155" s="26"/>
      <c r="MX155" s="26"/>
      <c r="MY155" s="26"/>
      <c r="MZ155" s="26"/>
      <c r="NA155" s="26"/>
      <c r="NB155" s="26"/>
      <c r="NC155" s="26"/>
      <c r="ND155" s="26"/>
      <c r="NE155" s="26"/>
      <c r="NF155" s="26"/>
      <c r="NG155" s="26"/>
      <c r="NH155" s="26"/>
      <c r="NI155" s="26"/>
      <c r="NJ155" s="26"/>
      <c r="NK155" s="26"/>
      <c r="NL155" s="26"/>
      <c r="NM155" s="26"/>
      <c r="NN155" s="26"/>
      <c r="NO155" s="26"/>
      <c r="NP155" s="26"/>
      <c r="NQ155" s="26"/>
      <c r="NR155" s="26"/>
      <c r="NS155" s="26"/>
      <c r="NT155" s="26"/>
      <c r="NU155" s="26"/>
      <c r="NV155" s="26"/>
      <c r="NW155" s="26"/>
      <c r="NX155" s="26"/>
      <c r="NY155" s="26"/>
      <c r="NZ155" s="26"/>
      <c r="OA155" s="26"/>
      <c r="OB155" s="26"/>
      <c r="OC155" s="26"/>
      <c r="OD155" s="26"/>
      <c r="OE155" s="26"/>
      <c r="OF155" s="23"/>
      <c r="OG155" s="26"/>
      <c r="OH155" s="26"/>
      <c r="OI155" s="26"/>
      <c r="OJ155" s="26"/>
      <c r="OK155" s="26"/>
      <c r="OL155" s="26"/>
      <c r="OM155" s="26"/>
      <c r="ON155" s="26"/>
      <c r="OO155" s="26"/>
      <c r="OP155" s="26"/>
      <c r="OQ155" s="26"/>
      <c r="OR155" s="26"/>
      <c r="OS155" s="26"/>
      <c r="OT155" s="26"/>
      <c r="OU155" s="26"/>
      <c r="OV155" s="26"/>
      <c r="OW155" s="26"/>
      <c r="OX155" s="26"/>
      <c r="OY155" s="26"/>
      <c r="OZ155" s="26"/>
      <c r="PA155" s="26"/>
      <c r="PB155" s="26"/>
      <c r="PC155" s="26"/>
      <c r="PD155" s="26"/>
      <c r="PE155" s="26"/>
      <c r="PF155" s="26"/>
      <c r="PG155" s="26"/>
      <c r="PH155" s="26"/>
      <c r="PI155" s="26"/>
      <c r="PJ155" s="26"/>
      <c r="PK155" s="26"/>
      <c r="PL155" s="26"/>
      <c r="PM155" s="26"/>
      <c r="PN155" s="26"/>
      <c r="PO155" s="26"/>
      <c r="PP155" s="26"/>
      <c r="PQ155" s="26"/>
      <c r="PR155" s="26"/>
    </row>
    <row r="156" spans="1:434" x14ac:dyDescent="0.25">
      <c r="A156" s="24"/>
      <c r="B156" s="25" t="s">
        <v>222</v>
      </c>
      <c r="C156" s="24" t="s">
        <v>70</v>
      </c>
      <c r="D156" s="24" t="s">
        <v>76</v>
      </c>
      <c r="E156" s="24"/>
      <c r="F156" s="23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3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3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3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3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3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3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  <c r="JD156" s="26"/>
      <c r="JE156" s="26"/>
      <c r="JF156" s="26"/>
      <c r="JG156" s="26"/>
      <c r="JH156" s="26"/>
      <c r="JI156" s="26"/>
      <c r="JJ156" s="26"/>
      <c r="JK156" s="26"/>
      <c r="JL156" s="26"/>
      <c r="JM156" s="26"/>
      <c r="JN156" s="26"/>
      <c r="JO156" s="26"/>
      <c r="JP156" s="26"/>
      <c r="JQ156" s="26"/>
      <c r="JR156" s="26"/>
      <c r="JS156" s="23"/>
      <c r="JT156" s="26"/>
      <c r="JU156" s="26"/>
      <c r="JV156" s="26"/>
      <c r="JW156" s="26"/>
      <c r="JX156" s="26"/>
      <c r="JY156" s="26"/>
      <c r="JZ156" s="26"/>
      <c r="KA156" s="26"/>
      <c r="KB156" s="26"/>
      <c r="KC156" s="26"/>
      <c r="KD156" s="26"/>
      <c r="KE156" s="26"/>
      <c r="KF156" s="26"/>
      <c r="KG156" s="26"/>
      <c r="KH156" s="26"/>
      <c r="KI156" s="26"/>
      <c r="KJ156" s="26"/>
      <c r="KK156" s="26"/>
      <c r="KL156" s="26"/>
      <c r="KM156" s="26"/>
      <c r="KN156" s="26"/>
      <c r="KO156" s="26"/>
      <c r="KP156" s="26"/>
      <c r="KQ156" s="26"/>
      <c r="KR156" s="26"/>
      <c r="KS156" s="26"/>
      <c r="KT156" s="26"/>
      <c r="KU156" s="26"/>
      <c r="KV156" s="26"/>
      <c r="KW156" s="26"/>
      <c r="KX156" s="26"/>
      <c r="KY156" s="26"/>
      <c r="KZ156" s="26"/>
      <c r="LA156" s="26"/>
      <c r="LB156" s="26"/>
      <c r="LC156" s="26"/>
      <c r="LD156" s="26"/>
      <c r="LE156" s="26"/>
      <c r="LF156" s="23"/>
      <c r="LG156" s="26"/>
      <c r="LH156" s="26"/>
      <c r="LI156" s="26"/>
      <c r="LJ156" s="26"/>
      <c r="LK156" s="26"/>
      <c r="LL156" s="26"/>
      <c r="LM156" s="26"/>
      <c r="LN156" s="26"/>
      <c r="LO156" s="26"/>
      <c r="LP156" s="26"/>
      <c r="LQ156" s="26"/>
      <c r="LR156" s="26"/>
      <c r="LS156" s="26"/>
      <c r="LT156" s="26"/>
      <c r="LU156" s="26"/>
      <c r="LV156" s="26"/>
      <c r="LW156" s="26"/>
      <c r="LX156" s="26"/>
      <c r="LY156" s="26"/>
      <c r="LZ156" s="26"/>
      <c r="MA156" s="26"/>
      <c r="MB156" s="26"/>
      <c r="MC156" s="26"/>
      <c r="MD156" s="26"/>
      <c r="ME156" s="26"/>
      <c r="MF156" s="26"/>
      <c r="MG156" s="26"/>
      <c r="MH156" s="26"/>
      <c r="MI156" s="26"/>
      <c r="MJ156" s="26"/>
      <c r="MK156" s="26"/>
      <c r="ML156" s="26"/>
      <c r="MM156" s="26"/>
      <c r="MN156" s="26"/>
      <c r="MO156" s="26"/>
      <c r="MP156" s="26"/>
      <c r="MQ156" s="26"/>
      <c r="MR156" s="26"/>
      <c r="MS156" s="23"/>
      <c r="MT156" s="26"/>
      <c r="MU156" s="26"/>
      <c r="MV156" s="26"/>
      <c r="MW156" s="26"/>
      <c r="MX156" s="26"/>
      <c r="MY156" s="26"/>
      <c r="MZ156" s="26"/>
      <c r="NA156" s="26"/>
      <c r="NB156" s="26"/>
      <c r="NC156" s="26"/>
      <c r="ND156" s="26"/>
      <c r="NE156" s="26"/>
      <c r="NF156" s="26"/>
      <c r="NG156" s="26"/>
      <c r="NH156" s="26"/>
      <c r="NI156" s="26"/>
      <c r="NJ156" s="26"/>
      <c r="NK156" s="26"/>
      <c r="NL156" s="26"/>
      <c r="NM156" s="26"/>
      <c r="NN156" s="26"/>
      <c r="NO156" s="26"/>
      <c r="NP156" s="26"/>
      <c r="NQ156" s="26"/>
      <c r="NR156" s="26"/>
      <c r="NS156" s="26"/>
      <c r="NT156" s="26"/>
      <c r="NU156" s="26"/>
      <c r="NV156" s="26"/>
      <c r="NW156" s="26"/>
      <c r="NX156" s="26"/>
      <c r="NY156" s="26"/>
      <c r="NZ156" s="26"/>
      <c r="OA156" s="26"/>
      <c r="OB156" s="26"/>
      <c r="OC156" s="26"/>
      <c r="OD156" s="26"/>
      <c r="OE156" s="26"/>
      <c r="OF156" s="23"/>
      <c r="OG156" s="26"/>
      <c r="OH156" s="26"/>
      <c r="OI156" s="26"/>
      <c r="OJ156" s="26"/>
      <c r="OK156" s="26"/>
      <c r="OL156" s="26"/>
      <c r="OM156" s="26"/>
      <c r="ON156" s="26"/>
      <c r="OO156" s="26"/>
      <c r="OP156" s="26"/>
      <c r="OQ156" s="26"/>
      <c r="OR156" s="26"/>
      <c r="OS156" s="26"/>
      <c r="OT156" s="26"/>
      <c r="OU156" s="26"/>
      <c r="OV156" s="26"/>
      <c r="OW156" s="26"/>
      <c r="OX156" s="26"/>
      <c r="OY156" s="26"/>
      <c r="OZ156" s="26"/>
      <c r="PA156" s="26"/>
      <c r="PB156" s="26"/>
      <c r="PC156" s="26"/>
      <c r="PD156" s="26"/>
      <c r="PE156" s="26"/>
      <c r="PF156" s="26"/>
      <c r="PG156" s="26"/>
      <c r="PH156" s="26"/>
      <c r="PI156" s="26"/>
      <c r="PJ156" s="26"/>
      <c r="PK156" s="26"/>
      <c r="PL156" s="26"/>
      <c r="PM156" s="26"/>
      <c r="PN156" s="26"/>
      <c r="PO156" s="26"/>
      <c r="PP156" s="26"/>
      <c r="PQ156" s="26"/>
      <c r="PR156" s="26"/>
    </row>
    <row r="157" spans="1:434" x14ac:dyDescent="0.25">
      <c r="A157" s="24"/>
      <c r="B157" s="25" t="s">
        <v>223</v>
      </c>
      <c r="C157" s="24" t="s">
        <v>70</v>
      </c>
      <c r="D157" s="24" t="s">
        <v>76</v>
      </c>
      <c r="E157" s="24"/>
      <c r="F157" s="23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3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3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3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3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3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3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  <c r="JD157" s="26"/>
      <c r="JE157" s="26"/>
      <c r="JF157" s="26"/>
      <c r="JG157" s="26"/>
      <c r="JH157" s="26"/>
      <c r="JI157" s="26"/>
      <c r="JJ157" s="26"/>
      <c r="JK157" s="26"/>
      <c r="JL157" s="26"/>
      <c r="JM157" s="26"/>
      <c r="JN157" s="26"/>
      <c r="JO157" s="26"/>
      <c r="JP157" s="26"/>
      <c r="JQ157" s="26"/>
      <c r="JR157" s="26"/>
      <c r="JS157" s="23"/>
      <c r="JT157" s="26"/>
      <c r="JU157" s="26"/>
      <c r="JV157" s="26"/>
      <c r="JW157" s="26"/>
      <c r="JX157" s="26"/>
      <c r="JY157" s="26"/>
      <c r="JZ157" s="26"/>
      <c r="KA157" s="26"/>
      <c r="KB157" s="26"/>
      <c r="KC157" s="26"/>
      <c r="KD157" s="26"/>
      <c r="KE157" s="26"/>
      <c r="KF157" s="26"/>
      <c r="KG157" s="26"/>
      <c r="KH157" s="26"/>
      <c r="KI157" s="26"/>
      <c r="KJ157" s="26"/>
      <c r="KK157" s="26"/>
      <c r="KL157" s="26"/>
      <c r="KM157" s="26"/>
      <c r="KN157" s="26"/>
      <c r="KO157" s="26"/>
      <c r="KP157" s="26"/>
      <c r="KQ157" s="26"/>
      <c r="KR157" s="26"/>
      <c r="KS157" s="26"/>
      <c r="KT157" s="26"/>
      <c r="KU157" s="26"/>
      <c r="KV157" s="26"/>
      <c r="KW157" s="26"/>
      <c r="KX157" s="26"/>
      <c r="KY157" s="26"/>
      <c r="KZ157" s="26"/>
      <c r="LA157" s="26"/>
      <c r="LB157" s="26"/>
      <c r="LC157" s="26"/>
      <c r="LD157" s="26"/>
      <c r="LE157" s="26"/>
      <c r="LF157" s="23"/>
      <c r="LG157" s="26"/>
      <c r="LH157" s="26"/>
      <c r="LI157" s="26"/>
      <c r="LJ157" s="26"/>
      <c r="LK157" s="26"/>
      <c r="LL157" s="26"/>
      <c r="LM157" s="26"/>
      <c r="LN157" s="26"/>
      <c r="LO157" s="26"/>
      <c r="LP157" s="26"/>
      <c r="LQ157" s="26"/>
      <c r="LR157" s="26"/>
      <c r="LS157" s="26"/>
      <c r="LT157" s="26"/>
      <c r="LU157" s="26"/>
      <c r="LV157" s="26"/>
      <c r="LW157" s="26"/>
      <c r="LX157" s="26"/>
      <c r="LY157" s="26"/>
      <c r="LZ157" s="26"/>
      <c r="MA157" s="26"/>
      <c r="MB157" s="26"/>
      <c r="MC157" s="26"/>
      <c r="MD157" s="26"/>
      <c r="ME157" s="26"/>
      <c r="MF157" s="26"/>
      <c r="MG157" s="26"/>
      <c r="MH157" s="26"/>
      <c r="MI157" s="26"/>
      <c r="MJ157" s="26"/>
      <c r="MK157" s="26"/>
      <c r="ML157" s="26"/>
      <c r="MM157" s="26"/>
      <c r="MN157" s="26"/>
      <c r="MO157" s="26"/>
      <c r="MP157" s="26"/>
      <c r="MQ157" s="26"/>
      <c r="MR157" s="26"/>
      <c r="MS157" s="23"/>
      <c r="MT157" s="26"/>
      <c r="MU157" s="26"/>
      <c r="MV157" s="26"/>
      <c r="MW157" s="26"/>
      <c r="MX157" s="26"/>
      <c r="MY157" s="26"/>
      <c r="MZ157" s="26"/>
      <c r="NA157" s="26"/>
      <c r="NB157" s="26"/>
      <c r="NC157" s="26"/>
      <c r="ND157" s="26"/>
      <c r="NE157" s="26"/>
      <c r="NF157" s="26"/>
      <c r="NG157" s="26"/>
      <c r="NH157" s="26"/>
      <c r="NI157" s="26"/>
      <c r="NJ157" s="26"/>
      <c r="NK157" s="26"/>
      <c r="NL157" s="26"/>
      <c r="NM157" s="26"/>
      <c r="NN157" s="26"/>
      <c r="NO157" s="26"/>
      <c r="NP157" s="26"/>
      <c r="NQ157" s="26"/>
      <c r="NR157" s="26"/>
      <c r="NS157" s="26"/>
      <c r="NT157" s="26"/>
      <c r="NU157" s="26"/>
      <c r="NV157" s="26"/>
      <c r="NW157" s="26"/>
      <c r="NX157" s="26"/>
      <c r="NY157" s="26"/>
      <c r="NZ157" s="26"/>
      <c r="OA157" s="26"/>
      <c r="OB157" s="26"/>
      <c r="OC157" s="26"/>
      <c r="OD157" s="26"/>
      <c r="OE157" s="26"/>
      <c r="OF157" s="23"/>
      <c r="OG157" s="26"/>
      <c r="OH157" s="26"/>
      <c r="OI157" s="26"/>
      <c r="OJ157" s="26"/>
      <c r="OK157" s="26"/>
      <c r="OL157" s="26"/>
      <c r="OM157" s="26"/>
      <c r="ON157" s="26"/>
      <c r="OO157" s="26"/>
      <c r="OP157" s="26"/>
      <c r="OQ157" s="26"/>
      <c r="OR157" s="26"/>
      <c r="OS157" s="26"/>
      <c r="OT157" s="26"/>
      <c r="OU157" s="26"/>
      <c r="OV157" s="26"/>
      <c r="OW157" s="26"/>
      <c r="OX157" s="26"/>
      <c r="OY157" s="26"/>
      <c r="OZ157" s="26"/>
      <c r="PA157" s="26"/>
      <c r="PB157" s="26"/>
      <c r="PC157" s="26"/>
      <c r="PD157" s="26"/>
      <c r="PE157" s="26"/>
      <c r="PF157" s="26"/>
      <c r="PG157" s="26"/>
      <c r="PH157" s="26"/>
      <c r="PI157" s="26"/>
      <c r="PJ157" s="26"/>
      <c r="PK157" s="26"/>
      <c r="PL157" s="26"/>
      <c r="PM157" s="26"/>
      <c r="PN157" s="26"/>
      <c r="PO157" s="26"/>
      <c r="PP157" s="26"/>
      <c r="PQ157" s="26"/>
      <c r="PR157" s="26"/>
    </row>
    <row r="158" spans="1:434" x14ac:dyDescent="0.25">
      <c r="A158" s="24"/>
      <c r="B158" s="25" t="s">
        <v>224</v>
      </c>
      <c r="C158" s="24" t="s">
        <v>66</v>
      </c>
      <c r="D158" s="24" t="s">
        <v>76</v>
      </c>
      <c r="E158" s="24"/>
      <c r="F158" s="23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3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3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3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3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3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3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  <c r="JD158" s="26"/>
      <c r="JE158" s="26"/>
      <c r="JF158" s="26"/>
      <c r="JG158" s="26"/>
      <c r="JH158" s="26"/>
      <c r="JI158" s="26"/>
      <c r="JJ158" s="26"/>
      <c r="JK158" s="26"/>
      <c r="JL158" s="26"/>
      <c r="JM158" s="26"/>
      <c r="JN158" s="26"/>
      <c r="JO158" s="26"/>
      <c r="JP158" s="26"/>
      <c r="JQ158" s="26"/>
      <c r="JR158" s="26"/>
      <c r="JS158" s="23"/>
      <c r="JT158" s="26"/>
      <c r="JU158" s="26"/>
      <c r="JV158" s="26"/>
      <c r="JW158" s="26"/>
      <c r="JX158" s="26"/>
      <c r="JY158" s="26"/>
      <c r="JZ158" s="26"/>
      <c r="KA158" s="26"/>
      <c r="KB158" s="26"/>
      <c r="KC158" s="26"/>
      <c r="KD158" s="26"/>
      <c r="KE158" s="26"/>
      <c r="KF158" s="26"/>
      <c r="KG158" s="26"/>
      <c r="KH158" s="26"/>
      <c r="KI158" s="26"/>
      <c r="KJ158" s="26"/>
      <c r="KK158" s="26"/>
      <c r="KL158" s="26"/>
      <c r="KM158" s="26"/>
      <c r="KN158" s="26"/>
      <c r="KO158" s="26"/>
      <c r="KP158" s="26"/>
      <c r="KQ158" s="26"/>
      <c r="KR158" s="26"/>
      <c r="KS158" s="26"/>
      <c r="KT158" s="26"/>
      <c r="KU158" s="26"/>
      <c r="KV158" s="26"/>
      <c r="KW158" s="26"/>
      <c r="KX158" s="26"/>
      <c r="KY158" s="26"/>
      <c r="KZ158" s="26"/>
      <c r="LA158" s="26"/>
      <c r="LB158" s="26"/>
      <c r="LC158" s="26"/>
      <c r="LD158" s="26"/>
      <c r="LE158" s="26"/>
      <c r="LF158" s="23"/>
      <c r="LG158" s="26"/>
      <c r="LH158" s="26"/>
      <c r="LI158" s="26"/>
      <c r="LJ158" s="26"/>
      <c r="LK158" s="26"/>
      <c r="LL158" s="26"/>
      <c r="LM158" s="26"/>
      <c r="LN158" s="26"/>
      <c r="LO158" s="26"/>
      <c r="LP158" s="26"/>
      <c r="LQ158" s="26"/>
      <c r="LR158" s="26"/>
      <c r="LS158" s="26"/>
      <c r="LT158" s="26"/>
      <c r="LU158" s="26"/>
      <c r="LV158" s="26"/>
      <c r="LW158" s="26"/>
      <c r="LX158" s="26"/>
      <c r="LY158" s="26"/>
      <c r="LZ158" s="26"/>
      <c r="MA158" s="26"/>
      <c r="MB158" s="26"/>
      <c r="MC158" s="26"/>
      <c r="MD158" s="26"/>
      <c r="ME158" s="26"/>
      <c r="MF158" s="26"/>
      <c r="MG158" s="26"/>
      <c r="MH158" s="26"/>
      <c r="MI158" s="26"/>
      <c r="MJ158" s="26"/>
      <c r="MK158" s="26"/>
      <c r="ML158" s="26"/>
      <c r="MM158" s="26"/>
      <c r="MN158" s="26"/>
      <c r="MO158" s="26"/>
      <c r="MP158" s="26"/>
      <c r="MQ158" s="26"/>
      <c r="MR158" s="26"/>
      <c r="MS158" s="23"/>
      <c r="MT158" s="26"/>
      <c r="MU158" s="26"/>
      <c r="MV158" s="26"/>
      <c r="MW158" s="26"/>
      <c r="MX158" s="26"/>
      <c r="MY158" s="26"/>
      <c r="MZ158" s="26"/>
      <c r="NA158" s="26"/>
      <c r="NB158" s="26"/>
      <c r="NC158" s="26"/>
      <c r="ND158" s="26"/>
      <c r="NE158" s="26"/>
      <c r="NF158" s="26"/>
      <c r="NG158" s="26"/>
      <c r="NH158" s="26"/>
      <c r="NI158" s="26"/>
      <c r="NJ158" s="26"/>
      <c r="NK158" s="26"/>
      <c r="NL158" s="26"/>
      <c r="NM158" s="26"/>
      <c r="NN158" s="26"/>
      <c r="NO158" s="26"/>
      <c r="NP158" s="26"/>
      <c r="NQ158" s="26"/>
      <c r="NR158" s="26"/>
      <c r="NS158" s="26"/>
      <c r="NT158" s="26"/>
      <c r="NU158" s="26"/>
      <c r="NV158" s="26"/>
      <c r="NW158" s="26"/>
      <c r="NX158" s="26"/>
      <c r="NY158" s="26"/>
      <c r="NZ158" s="26"/>
      <c r="OA158" s="26"/>
      <c r="OB158" s="26"/>
      <c r="OC158" s="26"/>
      <c r="OD158" s="26"/>
      <c r="OE158" s="26"/>
      <c r="OF158" s="23"/>
      <c r="OG158" s="26"/>
      <c r="OH158" s="26"/>
      <c r="OI158" s="26"/>
      <c r="OJ158" s="26"/>
      <c r="OK158" s="26"/>
      <c r="OL158" s="26"/>
      <c r="OM158" s="26"/>
      <c r="ON158" s="26"/>
      <c r="OO158" s="26"/>
      <c r="OP158" s="26"/>
      <c r="OQ158" s="26"/>
      <c r="OR158" s="26"/>
      <c r="OS158" s="26"/>
      <c r="OT158" s="26"/>
      <c r="OU158" s="26"/>
      <c r="OV158" s="26"/>
      <c r="OW158" s="26"/>
      <c r="OX158" s="26"/>
      <c r="OY158" s="26"/>
      <c r="OZ158" s="26"/>
      <c r="PA158" s="26"/>
      <c r="PB158" s="26"/>
      <c r="PC158" s="26"/>
      <c r="PD158" s="26"/>
      <c r="PE158" s="26"/>
      <c r="PF158" s="26"/>
      <c r="PG158" s="26"/>
      <c r="PH158" s="26"/>
      <c r="PI158" s="26"/>
      <c r="PJ158" s="26"/>
      <c r="PK158" s="26"/>
      <c r="PL158" s="26"/>
      <c r="PM158" s="26"/>
      <c r="PN158" s="26"/>
      <c r="PO158" s="26"/>
      <c r="PP158" s="26"/>
      <c r="PQ158" s="26"/>
      <c r="PR158" s="26"/>
    </row>
    <row r="159" spans="1:434" x14ac:dyDescent="0.25">
      <c r="A159" s="24"/>
      <c r="B159" s="25" t="s">
        <v>225</v>
      </c>
      <c r="C159" s="24" t="s">
        <v>70</v>
      </c>
      <c r="D159" s="24" t="s">
        <v>76</v>
      </c>
      <c r="E159" s="24"/>
      <c r="F159" s="23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3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3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3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3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3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3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  <c r="JD159" s="26"/>
      <c r="JE159" s="26"/>
      <c r="JF159" s="26"/>
      <c r="JG159" s="26"/>
      <c r="JH159" s="26"/>
      <c r="JI159" s="26"/>
      <c r="JJ159" s="26"/>
      <c r="JK159" s="26"/>
      <c r="JL159" s="26"/>
      <c r="JM159" s="26"/>
      <c r="JN159" s="26"/>
      <c r="JO159" s="26"/>
      <c r="JP159" s="26"/>
      <c r="JQ159" s="26"/>
      <c r="JR159" s="26"/>
      <c r="JS159" s="23"/>
      <c r="JT159" s="26"/>
      <c r="JU159" s="26"/>
      <c r="JV159" s="26"/>
      <c r="JW159" s="26"/>
      <c r="JX159" s="26"/>
      <c r="JY159" s="26"/>
      <c r="JZ159" s="26"/>
      <c r="KA159" s="26"/>
      <c r="KB159" s="26"/>
      <c r="KC159" s="26"/>
      <c r="KD159" s="26"/>
      <c r="KE159" s="26"/>
      <c r="KF159" s="26"/>
      <c r="KG159" s="26"/>
      <c r="KH159" s="26"/>
      <c r="KI159" s="26"/>
      <c r="KJ159" s="26"/>
      <c r="KK159" s="26"/>
      <c r="KL159" s="26"/>
      <c r="KM159" s="26"/>
      <c r="KN159" s="26"/>
      <c r="KO159" s="26"/>
      <c r="KP159" s="26"/>
      <c r="KQ159" s="26"/>
      <c r="KR159" s="26"/>
      <c r="KS159" s="26"/>
      <c r="KT159" s="26"/>
      <c r="KU159" s="26"/>
      <c r="KV159" s="26"/>
      <c r="KW159" s="26"/>
      <c r="KX159" s="26"/>
      <c r="KY159" s="26"/>
      <c r="KZ159" s="26"/>
      <c r="LA159" s="26"/>
      <c r="LB159" s="26"/>
      <c r="LC159" s="26"/>
      <c r="LD159" s="26"/>
      <c r="LE159" s="26"/>
      <c r="LF159" s="23"/>
      <c r="LG159" s="26"/>
      <c r="LH159" s="26"/>
      <c r="LI159" s="26"/>
      <c r="LJ159" s="26"/>
      <c r="LK159" s="26"/>
      <c r="LL159" s="26"/>
      <c r="LM159" s="26"/>
      <c r="LN159" s="26"/>
      <c r="LO159" s="26"/>
      <c r="LP159" s="26"/>
      <c r="LQ159" s="26"/>
      <c r="LR159" s="26"/>
      <c r="LS159" s="26"/>
      <c r="LT159" s="26"/>
      <c r="LU159" s="26"/>
      <c r="LV159" s="26"/>
      <c r="LW159" s="26"/>
      <c r="LX159" s="26"/>
      <c r="LY159" s="26"/>
      <c r="LZ159" s="26"/>
      <c r="MA159" s="26"/>
      <c r="MB159" s="26"/>
      <c r="MC159" s="26"/>
      <c r="MD159" s="26"/>
      <c r="ME159" s="26"/>
      <c r="MF159" s="26"/>
      <c r="MG159" s="26"/>
      <c r="MH159" s="26"/>
      <c r="MI159" s="26"/>
      <c r="MJ159" s="26"/>
      <c r="MK159" s="26"/>
      <c r="ML159" s="26"/>
      <c r="MM159" s="26"/>
      <c r="MN159" s="26"/>
      <c r="MO159" s="26"/>
      <c r="MP159" s="26"/>
      <c r="MQ159" s="26"/>
      <c r="MR159" s="26"/>
      <c r="MS159" s="23"/>
      <c r="MT159" s="26"/>
      <c r="MU159" s="26"/>
      <c r="MV159" s="26"/>
      <c r="MW159" s="26"/>
      <c r="MX159" s="26"/>
      <c r="MY159" s="26"/>
      <c r="MZ159" s="26"/>
      <c r="NA159" s="26"/>
      <c r="NB159" s="26"/>
      <c r="NC159" s="26"/>
      <c r="ND159" s="26"/>
      <c r="NE159" s="26"/>
      <c r="NF159" s="26"/>
      <c r="NG159" s="26"/>
      <c r="NH159" s="26"/>
      <c r="NI159" s="26"/>
      <c r="NJ159" s="26"/>
      <c r="NK159" s="26"/>
      <c r="NL159" s="26"/>
      <c r="NM159" s="26"/>
      <c r="NN159" s="26"/>
      <c r="NO159" s="26"/>
      <c r="NP159" s="26"/>
      <c r="NQ159" s="26"/>
      <c r="NR159" s="26"/>
      <c r="NS159" s="26"/>
      <c r="NT159" s="26"/>
      <c r="NU159" s="26"/>
      <c r="NV159" s="26"/>
      <c r="NW159" s="26"/>
      <c r="NX159" s="26"/>
      <c r="NY159" s="26"/>
      <c r="NZ159" s="26"/>
      <c r="OA159" s="26"/>
      <c r="OB159" s="26"/>
      <c r="OC159" s="26"/>
      <c r="OD159" s="26"/>
      <c r="OE159" s="26"/>
      <c r="OF159" s="23"/>
      <c r="OG159" s="26"/>
      <c r="OH159" s="26"/>
      <c r="OI159" s="26"/>
      <c r="OJ159" s="26"/>
      <c r="OK159" s="26"/>
      <c r="OL159" s="26"/>
      <c r="OM159" s="26"/>
      <c r="ON159" s="26"/>
      <c r="OO159" s="26"/>
      <c r="OP159" s="26"/>
      <c r="OQ159" s="26"/>
      <c r="OR159" s="26"/>
      <c r="OS159" s="26"/>
      <c r="OT159" s="26"/>
      <c r="OU159" s="26"/>
      <c r="OV159" s="26"/>
      <c r="OW159" s="26"/>
      <c r="OX159" s="26"/>
      <c r="OY159" s="26"/>
      <c r="OZ159" s="26"/>
      <c r="PA159" s="26"/>
      <c r="PB159" s="26"/>
      <c r="PC159" s="26"/>
      <c r="PD159" s="26"/>
      <c r="PE159" s="26"/>
      <c r="PF159" s="26"/>
      <c r="PG159" s="26"/>
      <c r="PH159" s="26"/>
      <c r="PI159" s="26"/>
      <c r="PJ159" s="26"/>
      <c r="PK159" s="26"/>
      <c r="PL159" s="26"/>
      <c r="PM159" s="26"/>
      <c r="PN159" s="26"/>
      <c r="PO159" s="26"/>
      <c r="PP159" s="26"/>
      <c r="PQ159" s="26"/>
      <c r="PR159" s="26"/>
    </row>
    <row r="161" spans="1:434" x14ac:dyDescent="0.25">
      <c r="A161" s="27"/>
      <c r="B161" s="28" t="s">
        <v>226</v>
      </c>
      <c r="C161" s="27"/>
      <c r="D161" s="27"/>
      <c r="F161" s="23"/>
      <c r="G161" s="29">
        <f t="shared" ref="G161:AR161" si="0">SUM(G5:G159)</f>
        <v>0</v>
      </c>
      <c r="H161" s="29">
        <f t="shared" si="0"/>
        <v>0</v>
      </c>
      <c r="I161" s="29">
        <f t="shared" si="0"/>
        <v>0</v>
      </c>
      <c r="J161" s="29">
        <f t="shared" si="0"/>
        <v>0</v>
      </c>
      <c r="K161" s="29">
        <f t="shared" si="0"/>
        <v>0</v>
      </c>
      <c r="L161" s="29">
        <f t="shared" si="0"/>
        <v>0</v>
      </c>
      <c r="M161" s="29">
        <f t="shared" si="0"/>
        <v>0</v>
      </c>
      <c r="N161" s="29">
        <f t="shared" si="0"/>
        <v>0</v>
      </c>
      <c r="O161" s="29">
        <f t="shared" si="0"/>
        <v>0</v>
      </c>
      <c r="P161" s="29">
        <f t="shared" si="0"/>
        <v>0</v>
      </c>
      <c r="Q161" s="29">
        <f t="shared" si="0"/>
        <v>0</v>
      </c>
      <c r="R161" s="29">
        <f t="shared" si="0"/>
        <v>0</v>
      </c>
      <c r="S161" s="29">
        <f t="shared" si="0"/>
        <v>0</v>
      </c>
      <c r="T161" s="29">
        <f t="shared" si="0"/>
        <v>0</v>
      </c>
      <c r="U161" s="29">
        <f t="shared" si="0"/>
        <v>0</v>
      </c>
      <c r="V161" s="29">
        <f t="shared" si="0"/>
        <v>0</v>
      </c>
      <c r="W161" s="29">
        <f t="shared" si="0"/>
        <v>0</v>
      </c>
      <c r="X161" s="29">
        <f t="shared" si="0"/>
        <v>0</v>
      </c>
      <c r="Y161" s="29">
        <f t="shared" si="0"/>
        <v>0</v>
      </c>
      <c r="Z161" s="29">
        <f t="shared" si="0"/>
        <v>0</v>
      </c>
      <c r="AA161" s="29">
        <f t="shared" si="0"/>
        <v>0</v>
      </c>
      <c r="AB161" s="29">
        <f t="shared" si="0"/>
        <v>0</v>
      </c>
      <c r="AC161" s="29">
        <f t="shared" si="0"/>
        <v>0</v>
      </c>
      <c r="AD161" s="29">
        <f t="shared" si="0"/>
        <v>0</v>
      </c>
      <c r="AE161" s="29">
        <f t="shared" si="0"/>
        <v>0</v>
      </c>
      <c r="AF161" s="29">
        <f t="shared" si="0"/>
        <v>0</v>
      </c>
      <c r="AG161" s="29">
        <f t="shared" si="0"/>
        <v>0</v>
      </c>
      <c r="AH161" s="29">
        <f t="shared" si="0"/>
        <v>0</v>
      </c>
      <c r="AI161" s="29">
        <f t="shared" si="0"/>
        <v>0</v>
      </c>
      <c r="AJ161" s="29">
        <f t="shared" si="0"/>
        <v>0</v>
      </c>
      <c r="AK161" s="29">
        <f t="shared" si="0"/>
        <v>0</v>
      </c>
      <c r="AL161" s="29">
        <f t="shared" si="0"/>
        <v>0</v>
      </c>
      <c r="AM161" s="29">
        <f t="shared" si="0"/>
        <v>0</v>
      </c>
      <c r="AN161" s="29">
        <f t="shared" si="0"/>
        <v>0</v>
      </c>
      <c r="AO161" s="29">
        <f t="shared" si="0"/>
        <v>0</v>
      </c>
      <c r="AP161" s="29">
        <f t="shared" si="0"/>
        <v>0</v>
      </c>
      <c r="AQ161" s="29">
        <f t="shared" si="0"/>
        <v>0</v>
      </c>
      <c r="AR161" s="29">
        <f t="shared" si="0"/>
        <v>0</v>
      </c>
      <c r="AS161" s="23"/>
      <c r="AT161" s="29">
        <f t="shared" ref="AT161:CE161" si="1">SUM(AT5:AT159)</f>
        <v>0</v>
      </c>
      <c r="AU161" s="29">
        <f t="shared" si="1"/>
        <v>0</v>
      </c>
      <c r="AV161" s="29">
        <f t="shared" si="1"/>
        <v>0</v>
      </c>
      <c r="AW161" s="29">
        <f t="shared" si="1"/>
        <v>0</v>
      </c>
      <c r="AX161" s="29">
        <f t="shared" si="1"/>
        <v>0</v>
      </c>
      <c r="AY161" s="29">
        <f t="shared" si="1"/>
        <v>0</v>
      </c>
      <c r="AZ161" s="29">
        <f t="shared" si="1"/>
        <v>0</v>
      </c>
      <c r="BA161" s="29">
        <f t="shared" si="1"/>
        <v>0</v>
      </c>
      <c r="BB161" s="29">
        <f t="shared" si="1"/>
        <v>0</v>
      </c>
      <c r="BC161" s="29">
        <f t="shared" si="1"/>
        <v>0</v>
      </c>
      <c r="BD161" s="29">
        <f t="shared" si="1"/>
        <v>0</v>
      </c>
      <c r="BE161" s="29">
        <f t="shared" si="1"/>
        <v>0</v>
      </c>
      <c r="BF161" s="29">
        <f t="shared" si="1"/>
        <v>0</v>
      </c>
      <c r="BG161" s="29">
        <f t="shared" si="1"/>
        <v>0</v>
      </c>
      <c r="BH161" s="29">
        <f t="shared" si="1"/>
        <v>0</v>
      </c>
      <c r="BI161" s="29">
        <f t="shared" si="1"/>
        <v>0</v>
      </c>
      <c r="BJ161" s="29">
        <f t="shared" si="1"/>
        <v>0</v>
      </c>
      <c r="BK161" s="29">
        <f t="shared" si="1"/>
        <v>0</v>
      </c>
      <c r="BL161" s="29">
        <f t="shared" si="1"/>
        <v>0</v>
      </c>
      <c r="BM161" s="29">
        <f t="shared" si="1"/>
        <v>0</v>
      </c>
      <c r="BN161" s="29">
        <f t="shared" si="1"/>
        <v>0</v>
      </c>
      <c r="BO161" s="29">
        <f t="shared" si="1"/>
        <v>0</v>
      </c>
      <c r="BP161" s="29">
        <f t="shared" si="1"/>
        <v>0</v>
      </c>
      <c r="BQ161" s="29">
        <f t="shared" si="1"/>
        <v>0</v>
      </c>
      <c r="BR161" s="29">
        <f t="shared" si="1"/>
        <v>0</v>
      </c>
      <c r="BS161" s="29">
        <f t="shared" si="1"/>
        <v>0</v>
      </c>
      <c r="BT161" s="29">
        <f t="shared" si="1"/>
        <v>0</v>
      </c>
      <c r="BU161" s="29">
        <f t="shared" si="1"/>
        <v>0</v>
      </c>
      <c r="BV161" s="29">
        <f t="shared" si="1"/>
        <v>0</v>
      </c>
      <c r="BW161" s="29">
        <f t="shared" si="1"/>
        <v>0</v>
      </c>
      <c r="BX161" s="29">
        <f t="shared" si="1"/>
        <v>0</v>
      </c>
      <c r="BY161" s="29">
        <f t="shared" si="1"/>
        <v>0</v>
      </c>
      <c r="BZ161" s="29">
        <f t="shared" si="1"/>
        <v>0</v>
      </c>
      <c r="CA161" s="29">
        <f t="shared" si="1"/>
        <v>0</v>
      </c>
      <c r="CB161" s="29">
        <f t="shared" si="1"/>
        <v>0</v>
      </c>
      <c r="CC161" s="29">
        <f t="shared" si="1"/>
        <v>0</v>
      </c>
      <c r="CD161" s="29">
        <f t="shared" si="1"/>
        <v>0</v>
      </c>
      <c r="CE161" s="29">
        <f t="shared" si="1"/>
        <v>0</v>
      </c>
      <c r="CF161" s="23"/>
      <c r="CG161" s="29">
        <f t="shared" ref="CG161:DR161" si="2">SUM(CG5:CG159)</f>
        <v>0</v>
      </c>
      <c r="CH161" s="29">
        <f t="shared" si="2"/>
        <v>0</v>
      </c>
      <c r="CI161" s="29">
        <f t="shared" si="2"/>
        <v>0</v>
      </c>
      <c r="CJ161" s="29">
        <f t="shared" si="2"/>
        <v>0</v>
      </c>
      <c r="CK161" s="29">
        <f t="shared" si="2"/>
        <v>0</v>
      </c>
      <c r="CL161" s="29">
        <f t="shared" si="2"/>
        <v>0</v>
      </c>
      <c r="CM161" s="29">
        <f t="shared" si="2"/>
        <v>0</v>
      </c>
      <c r="CN161" s="29">
        <f t="shared" si="2"/>
        <v>0</v>
      </c>
      <c r="CO161" s="29">
        <f t="shared" si="2"/>
        <v>0</v>
      </c>
      <c r="CP161" s="29">
        <f t="shared" si="2"/>
        <v>0</v>
      </c>
      <c r="CQ161" s="29">
        <f t="shared" si="2"/>
        <v>0</v>
      </c>
      <c r="CR161" s="29">
        <f t="shared" si="2"/>
        <v>0</v>
      </c>
      <c r="CS161" s="29">
        <f t="shared" si="2"/>
        <v>0</v>
      </c>
      <c r="CT161" s="29">
        <f t="shared" si="2"/>
        <v>0</v>
      </c>
      <c r="CU161" s="29">
        <f t="shared" si="2"/>
        <v>0</v>
      </c>
      <c r="CV161" s="29">
        <f t="shared" si="2"/>
        <v>0</v>
      </c>
      <c r="CW161" s="29">
        <f t="shared" si="2"/>
        <v>0</v>
      </c>
      <c r="CX161" s="29">
        <f t="shared" si="2"/>
        <v>0</v>
      </c>
      <c r="CY161" s="29">
        <f t="shared" si="2"/>
        <v>0</v>
      </c>
      <c r="CZ161" s="29">
        <f t="shared" si="2"/>
        <v>0</v>
      </c>
      <c r="DA161" s="29">
        <f t="shared" si="2"/>
        <v>0</v>
      </c>
      <c r="DB161" s="29">
        <f t="shared" si="2"/>
        <v>0</v>
      </c>
      <c r="DC161" s="29">
        <f t="shared" si="2"/>
        <v>0</v>
      </c>
      <c r="DD161" s="29">
        <f t="shared" si="2"/>
        <v>0</v>
      </c>
      <c r="DE161" s="29">
        <f t="shared" si="2"/>
        <v>0</v>
      </c>
      <c r="DF161" s="29">
        <f t="shared" si="2"/>
        <v>0</v>
      </c>
      <c r="DG161" s="29">
        <f t="shared" si="2"/>
        <v>0</v>
      </c>
      <c r="DH161" s="29">
        <f t="shared" si="2"/>
        <v>0</v>
      </c>
      <c r="DI161" s="29">
        <f t="shared" si="2"/>
        <v>0</v>
      </c>
      <c r="DJ161" s="29">
        <f t="shared" si="2"/>
        <v>0</v>
      </c>
      <c r="DK161" s="29">
        <f t="shared" si="2"/>
        <v>0</v>
      </c>
      <c r="DL161" s="29">
        <f t="shared" si="2"/>
        <v>0</v>
      </c>
      <c r="DM161" s="29">
        <f t="shared" si="2"/>
        <v>0</v>
      </c>
      <c r="DN161" s="29">
        <f t="shared" si="2"/>
        <v>0</v>
      </c>
      <c r="DO161" s="29">
        <f t="shared" si="2"/>
        <v>0</v>
      </c>
      <c r="DP161" s="29">
        <f t="shared" si="2"/>
        <v>0</v>
      </c>
      <c r="DQ161" s="29">
        <f t="shared" si="2"/>
        <v>0</v>
      </c>
      <c r="DR161" s="29">
        <f t="shared" si="2"/>
        <v>0</v>
      </c>
      <c r="DS161" s="23"/>
      <c r="DT161" s="29">
        <f t="shared" ref="DT161:FE161" si="3">SUM(DT5:DT159)</f>
        <v>0</v>
      </c>
      <c r="DU161" s="29">
        <f t="shared" si="3"/>
        <v>0</v>
      </c>
      <c r="DV161" s="29">
        <f t="shared" si="3"/>
        <v>0</v>
      </c>
      <c r="DW161" s="29">
        <f t="shared" si="3"/>
        <v>0</v>
      </c>
      <c r="DX161" s="29">
        <f t="shared" si="3"/>
        <v>0</v>
      </c>
      <c r="DY161" s="29">
        <f t="shared" si="3"/>
        <v>0</v>
      </c>
      <c r="DZ161" s="29">
        <f t="shared" si="3"/>
        <v>0</v>
      </c>
      <c r="EA161" s="29">
        <f t="shared" si="3"/>
        <v>0</v>
      </c>
      <c r="EB161" s="29">
        <f t="shared" si="3"/>
        <v>0</v>
      </c>
      <c r="EC161" s="29">
        <f t="shared" si="3"/>
        <v>0</v>
      </c>
      <c r="ED161" s="29">
        <f t="shared" si="3"/>
        <v>0</v>
      </c>
      <c r="EE161" s="29">
        <f t="shared" si="3"/>
        <v>0</v>
      </c>
      <c r="EF161" s="29">
        <f t="shared" si="3"/>
        <v>0</v>
      </c>
      <c r="EG161" s="29">
        <f t="shared" si="3"/>
        <v>0</v>
      </c>
      <c r="EH161" s="29">
        <f t="shared" si="3"/>
        <v>0</v>
      </c>
      <c r="EI161" s="29">
        <f t="shared" si="3"/>
        <v>0</v>
      </c>
      <c r="EJ161" s="29">
        <f t="shared" si="3"/>
        <v>0</v>
      </c>
      <c r="EK161" s="29">
        <f t="shared" si="3"/>
        <v>0</v>
      </c>
      <c r="EL161" s="29">
        <f t="shared" si="3"/>
        <v>0</v>
      </c>
      <c r="EM161" s="29">
        <f t="shared" si="3"/>
        <v>0</v>
      </c>
      <c r="EN161" s="29">
        <f t="shared" si="3"/>
        <v>0</v>
      </c>
      <c r="EO161" s="29">
        <f t="shared" si="3"/>
        <v>0</v>
      </c>
      <c r="EP161" s="29">
        <f t="shared" si="3"/>
        <v>0</v>
      </c>
      <c r="EQ161" s="29">
        <f t="shared" si="3"/>
        <v>0</v>
      </c>
      <c r="ER161" s="29">
        <f t="shared" si="3"/>
        <v>0</v>
      </c>
      <c r="ES161" s="29">
        <f t="shared" si="3"/>
        <v>0</v>
      </c>
      <c r="ET161" s="29">
        <f t="shared" si="3"/>
        <v>0</v>
      </c>
      <c r="EU161" s="29">
        <f t="shared" si="3"/>
        <v>0</v>
      </c>
      <c r="EV161" s="29">
        <f t="shared" si="3"/>
        <v>0</v>
      </c>
      <c r="EW161" s="29">
        <f t="shared" si="3"/>
        <v>0</v>
      </c>
      <c r="EX161" s="29">
        <f t="shared" si="3"/>
        <v>0</v>
      </c>
      <c r="EY161" s="29">
        <f t="shared" si="3"/>
        <v>0</v>
      </c>
      <c r="EZ161" s="29">
        <f t="shared" si="3"/>
        <v>0</v>
      </c>
      <c r="FA161" s="29">
        <f t="shared" si="3"/>
        <v>0</v>
      </c>
      <c r="FB161" s="29">
        <f t="shared" si="3"/>
        <v>0</v>
      </c>
      <c r="FC161" s="29">
        <f t="shared" si="3"/>
        <v>0</v>
      </c>
      <c r="FD161" s="29">
        <f t="shared" si="3"/>
        <v>0</v>
      </c>
      <c r="FE161" s="29">
        <f t="shared" si="3"/>
        <v>0</v>
      </c>
      <c r="FF161" s="23"/>
      <c r="FG161" s="29">
        <f t="shared" ref="FG161:GR161" si="4">SUM(FG5:FG159)</f>
        <v>0</v>
      </c>
      <c r="FH161" s="29">
        <f t="shared" si="4"/>
        <v>0</v>
      </c>
      <c r="FI161" s="29">
        <f t="shared" si="4"/>
        <v>0</v>
      </c>
      <c r="FJ161" s="29">
        <f t="shared" si="4"/>
        <v>0</v>
      </c>
      <c r="FK161" s="29">
        <f t="shared" si="4"/>
        <v>0</v>
      </c>
      <c r="FL161" s="29">
        <f t="shared" si="4"/>
        <v>0</v>
      </c>
      <c r="FM161" s="29">
        <f t="shared" si="4"/>
        <v>0</v>
      </c>
      <c r="FN161" s="29">
        <f t="shared" si="4"/>
        <v>0</v>
      </c>
      <c r="FO161" s="29">
        <f t="shared" si="4"/>
        <v>0</v>
      </c>
      <c r="FP161" s="29">
        <f t="shared" si="4"/>
        <v>0</v>
      </c>
      <c r="FQ161" s="29">
        <f t="shared" si="4"/>
        <v>0</v>
      </c>
      <c r="FR161" s="29">
        <f t="shared" si="4"/>
        <v>0</v>
      </c>
      <c r="FS161" s="29">
        <f t="shared" si="4"/>
        <v>0</v>
      </c>
      <c r="FT161" s="29">
        <f t="shared" si="4"/>
        <v>0</v>
      </c>
      <c r="FU161" s="29">
        <f t="shared" si="4"/>
        <v>0</v>
      </c>
      <c r="FV161" s="29">
        <f t="shared" si="4"/>
        <v>0</v>
      </c>
      <c r="FW161" s="29">
        <f t="shared" si="4"/>
        <v>0</v>
      </c>
      <c r="FX161" s="29">
        <f t="shared" si="4"/>
        <v>0</v>
      </c>
      <c r="FY161" s="29">
        <f t="shared" si="4"/>
        <v>0</v>
      </c>
      <c r="FZ161" s="29">
        <f t="shared" si="4"/>
        <v>0</v>
      </c>
      <c r="GA161" s="29">
        <f t="shared" si="4"/>
        <v>0</v>
      </c>
      <c r="GB161" s="29">
        <f t="shared" si="4"/>
        <v>0</v>
      </c>
      <c r="GC161" s="29">
        <f t="shared" si="4"/>
        <v>0</v>
      </c>
      <c r="GD161" s="29">
        <f t="shared" si="4"/>
        <v>0</v>
      </c>
      <c r="GE161" s="29">
        <f t="shared" si="4"/>
        <v>0</v>
      </c>
      <c r="GF161" s="29">
        <f t="shared" si="4"/>
        <v>0</v>
      </c>
      <c r="GG161" s="29">
        <f t="shared" si="4"/>
        <v>0</v>
      </c>
      <c r="GH161" s="29">
        <f t="shared" si="4"/>
        <v>0</v>
      </c>
      <c r="GI161" s="29">
        <f t="shared" si="4"/>
        <v>0</v>
      </c>
      <c r="GJ161" s="29">
        <f t="shared" si="4"/>
        <v>0</v>
      </c>
      <c r="GK161" s="29">
        <f t="shared" si="4"/>
        <v>0</v>
      </c>
      <c r="GL161" s="29">
        <f t="shared" si="4"/>
        <v>0</v>
      </c>
      <c r="GM161" s="29">
        <f t="shared" si="4"/>
        <v>0</v>
      </c>
      <c r="GN161" s="29">
        <f t="shared" si="4"/>
        <v>0</v>
      </c>
      <c r="GO161" s="29">
        <f t="shared" si="4"/>
        <v>0</v>
      </c>
      <c r="GP161" s="29">
        <f t="shared" si="4"/>
        <v>0</v>
      </c>
      <c r="GQ161" s="29">
        <f t="shared" si="4"/>
        <v>0</v>
      </c>
      <c r="GR161" s="29">
        <f t="shared" si="4"/>
        <v>0</v>
      </c>
      <c r="GS161" s="23"/>
      <c r="GT161" s="29">
        <f t="shared" ref="GT161:IE161" si="5">SUM(GT5:GT159)</f>
        <v>0</v>
      </c>
      <c r="GU161" s="29">
        <f t="shared" si="5"/>
        <v>0</v>
      </c>
      <c r="GV161" s="29">
        <f t="shared" si="5"/>
        <v>0</v>
      </c>
      <c r="GW161" s="29">
        <f t="shared" si="5"/>
        <v>0</v>
      </c>
      <c r="GX161" s="29">
        <f t="shared" si="5"/>
        <v>0</v>
      </c>
      <c r="GY161" s="29">
        <f t="shared" si="5"/>
        <v>0</v>
      </c>
      <c r="GZ161" s="29">
        <f t="shared" si="5"/>
        <v>0</v>
      </c>
      <c r="HA161" s="29">
        <f t="shared" si="5"/>
        <v>0</v>
      </c>
      <c r="HB161" s="29">
        <f t="shared" si="5"/>
        <v>0</v>
      </c>
      <c r="HC161" s="29">
        <f t="shared" si="5"/>
        <v>0</v>
      </c>
      <c r="HD161" s="29">
        <f t="shared" si="5"/>
        <v>0</v>
      </c>
      <c r="HE161" s="29">
        <f t="shared" si="5"/>
        <v>0</v>
      </c>
      <c r="HF161" s="29">
        <f t="shared" si="5"/>
        <v>0</v>
      </c>
      <c r="HG161" s="29">
        <f t="shared" si="5"/>
        <v>0</v>
      </c>
      <c r="HH161" s="29">
        <f t="shared" si="5"/>
        <v>0</v>
      </c>
      <c r="HI161" s="29">
        <f t="shared" si="5"/>
        <v>0</v>
      </c>
      <c r="HJ161" s="29">
        <f t="shared" si="5"/>
        <v>0</v>
      </c>
      <c r="HK161" s="29">
        <f t="shared" si="5"/>
        <v>0</v>
      </c>
      <c r="HL161" s="29">
        <f t="shared" si="5"/>
        <v>0</v>
      </c>
      <c r="HM161" s="29">
        <f t="shared" si="5"/>
        <v>0</v>
      </c>
      <c r="HN161" s="29">
        <f t="shared" si="5"/>
        <v>0</v>
      </c>
      <c r="HO161" s="29">
        <f t="shared" si="5"/>
        <v>0</v>
      </c>
      <c r="HP161" s="29">
        <f t="shared" si="5"/>
        <v>0</v>
      </c>
      <c r="HQ161" s="29">
        <f t="shared" si="5"/>
        <v>0</v>
      </c>
      <c r="HR161" s="29">
        <f t="shared" si="5"/>
        <v>0</v>
      </c>
      <c r="HS161" s="29">
        <f t="shared" si="5"/>
        <v>0</v>
      </c>
      <c r="HT161" s="29">
        <f t="shared" si="5"/>
        <v>0</v>
      </c>
      <c r="HU161" s="29">
        <f t="shared" si="5"/>
        <v>0</v>
      </c>
      <c r="HV161" s="29">
        <f t="shared" si="5"/>
        <v>0</v>
      </c>
      <c r="HW161" s="29">
        <f t="shared" si="5"/>
        <v>0</v>
      </c>
      <c r="HX161" s="29">
        <f t="shared" si="5"/>
        <v>0</v>
      </c>
      <c r="HY161" s="29">
        <f t="shared" si="5"/>
        <v>0</v>
      </c>
      <c r="HZ161" s="29">
        <f t="shared" si="5"/>
        <v>0</v>
      </c>
      <c r="IA161" s="29">
        <f t="shared" si="5"/>
        <v>0</v>
      </c>
      <c r="IB161" s="29">
        <f t="shared" si="5"/>
        <v>0</v>
      </c>
      <c r="IC161" s="29">
        <f t="shared" si="5"/>
        <v>0</v>
      </c>
      <c r="ID161" s="29">
        <f t="shared" si="5"/>
        <v>0</v>
      </c>
      <c r="IE161" s="29">
        <f t="shared" si="5"/>
        <v>0</v>
      </c>
      <c r="IF161" s="23"/>
      <c r="IG161" s="29">
        <f t="shared" ref="IG161:JR161" si="6">SUM(IG5:IG159)</f>
        <v>0</v>
      </c>
      <c r="IH161" s="29">
        <f t="shared" si="6"/>
        <v>0</v>
      </c>
      <c r="II161" s="29">
        <f t="shared" si="6"/>
        <v>0</v>
      </c>
      <c r="IJ161" s="29">
        <f t="shared" si="6"/>
        <v>0</v>
      </c>
      <c r="IK161" s="29">
        <f t="shared" si="6"/>
        <v>0</v>
      </c>
      <c r="IL161" s="29">
        <f t="shared" si="6"/>
        <v>0</v>
      </c>
      <c r="IM161" s="29">
        <f t="shared" si="6"/>
        <v>0</v>
      </c>
      <c r="IN161" s="29">
        <f t="shared" si="6"/>
        <v>0</v>
      </c>
      <c r="IO161" s="29">
        <f t="shared" si="6"/>
        <v>0</v>
      </c>
      <c r="IP161" s="29">
        <f t="shared" si="6"/>
        <v>0</v>
      </c>
      <c r="IQ161" s="29">
        <f t="shared" si="6"/>
        <v>0</v>
      </c>
      <c r="IR161" s="29">
        <f t="shared" si="6"/>
        <v>0</v>
      </c>
      <c r="IS161" s="29">
        <f t="shared" si="6"/>
        <v>0</v>
      </c>
      <c r="IT161" s="29">
        <f t="shared" si="6"/>
        <v>0</v>
      </c>
      <c r="IU161" s="29">
        <f t="shared" si="6"/>
        <v>0</v>
      </c>
      <c r="IV161" s="29">
        <f t="shared" si="6"/>
        <v>0</v>
      </c>
      <c r="IW161" s="29">
        <f t="shared" si="6"/>
        <v>0</v>
      </c>
      <c r="IX161" s="29">
        <f t="shared" si="6"/>
        <v>0</v>
      </c>
      <c r="IY161" s="29">
        <f t="shared" si="6"/>
        <v>0</v>
      </c>
      <c r="IZ161" s="29">
        <f t="shared" si="6"/>
        <v>0</v>
      </c>
      <c r="JA161" s="29">
        <f t="shared" si="6"/>
        <v>0</v>
      </c>
      <c r="JB161" s="29">
        <f t="shared" si="6"/>
        <v>0</v>
      </c>
      <c r="JC161" s="29">
        <f t="shared" si="6"/>
        <v>0</v>
      </c>
      <c r="JD161" s="29">
        <f t="shared" si="6"/>
        <v>0</v>
      </c>
      <c r="JE161" s="29">
        <f t="shared" si="6"/>
        <v>0</v>
      </c>
      <c r="JF161" s="29">
        <f t="shared" si="6"/>
        <v>0</v>
      </c>
      <c r="JG161" s="29">
        <f t="shared" si="6"/>
        <v>0</v>
      </c>
      <c r="JH161" s="29">
        <f t="shared" si="6"/>
        <v>0</v>
      </c>
      <c r="JI161" s="29">
        <f t="shared" si="6"/>
        <v>0</v>
      </c>
      <c r="JJ161" s="29">
        <f t="shared" si="6"/>
        <v>0</v>
      </c>
      <c r="JK161" s="29">
        <f t="shared" si="6"/>
        <v>0</v>
      </c>
      <c r="JL161" s="29">
        <f t="shared" si="6"/>
        <v>0</v>
      </c>
      <c r="JM161" s="29">
        <f t="shared" si="6"/>
        <v>0</v>
      </c>
      <c r="JN161" s="29">
        <f t="shared" si="6"/>
        <v>0</v>
      </c>
      <c r="JO161" s="29">
        <f t="shared" si="6"/>
        <v>0</v>
      </c>
      <c r="JP161" s="29">
        <f t="shared" si="6"/>
        <v>0</v>
      </c>
      <c r="JQ161" s="29">
        <f t="shared" si="6"/>
        <v>0</v>
      </c>
      <c r="JR161" s="29">
        <f t="shared" si="6"/>
        <v>0</v>
      </c>
      <c r="JS161" s="23"/>
      <c r="JT161" s="29">
        <f t="shared" ref="JT161:LE161" si="7">SUM(JT5:JT159)</f>
        <v>0</v>
      </c>
      <c r="JU161" s="29">
        <f t="shared" si="7"/>
        <v>0</v>
      </c>
      <c r="JV161" s="29">
        <f t="shared" si="7"/>
        <v>0</v>
      </c>
      <c r="JW161" s="29">
        <f t="shared" si="7"/>
        <v>0</v>
      </c>
      <c r="JX161" s="29">
        <f t="shared" si="7"/>
        <v>0</v>
      </c>
      <c r="JY161" s="29">
        <f t="shared" si="7"/>
        <v>0</v>
      </c>
      <c r="JZ161" s="29">
        <f t="shared" si="7"/>
        <v>0</v>
      </c>
      <c r="KA161" s="29">
        <f t="shared" si="7"/>
        <v>0</v>
      </c>
      <c r="KB161" s="29">
        <f t="shared" si="7"/>
        <v>0</v>
      </c>
      <c r="KC161" s="29">
        <f t="shared" si="7"/>
        <v>0</v>
      </c>
      <c r="KD161" s="29">
        <f t="shared" si="7"/>
        <v>0</v>
      </c>
      <c r="KE161" s="29">
        <f t="shared" si="7"/>
        <v>0</v>
      </c>
      <c r="KF161" s="29">
        <f t="shared" si="7"/>
        <v>0</v>
      </c>
      <c r="KG161" s="29">
        <f t="shared" si="7"/>
        <v>0</v>
      </c>
      <c r="KH161" s="29">
        <f t="shared" si="7"/>
        <v>0</v>
      </c>
      <c r="KI161" s="29">
        <f t="shared" si="7"/>
        <v>0</v>
      </c>
      <c r="KJ161" s="29">
        <f t="shared" si="7"/>
        <v>0</v>
      </c>
      <c r="KK161" s="29">
        <f t="shared" si="7"/>
        <v>0</v>
      </c>
      <c r="KL161" s="29">
        <f t="shared" si="7"/>
        <v>0</v>
      </c>
      <c r="KM161" s="29">
        <f t="shared" si="7"/>
        <v>0</v>
      </c>
      <c r="KN161" s="29">
        <f t="shared" si="7"/>
        <v>0</v>
      </c>
      <c r="KO161" s="29">
        <f t="shared" si="7"/>
        <v>0</v>
      </c>
      <c r="KP161" s="29">
        <f t="shared" si="7"/>
        <v>0</v>
      </c>
      <c r="KQ161" s="29">
        <f t="shared" si="7"/>
        <v>0</v>
      </c>
      <c r="KR161" s="29">
        <f t="shared" si="7"/>
        <v>0</v>
      </c>
      <c r="KS161" s="29">
        <f t="shared" si="7"/>
        <v>0</v>
      </c>
      <c r="KT161" s="29">
        <f t="shared" si="7"/>
        <v>0</v>
      </c>
      <c r="KU161" s="29">
        <f t="shared" si="7"/>
        <v>0</v>
      </c>
      <c r="KV161" s="29">
        <f t="shared" si="7"/>
        <v>0</v>
      </c>
      <c r="KW161" s="29">
        <f t="shared" si="7"/>
        <v>0</v>
      </c>
      <c r="KX161" s="29">
        <f t="shared" si="7"/>
        <v>0</v>
      </c>
      <c r="KY161" s="29">
        <f t="shared" si="7"/>
        <v>0</v>
      </c>
      <c r="KZ161" s="29">
        <f t="shared" si="7"/>
        <v>0</v>
      </c>
      <c r="LA161" s="29">
        <f t="shared" si="7"/>
        <v>0</v>
      </c>
      <c r="LB161" s="29">
        <f t="shared" si="7"/>
        <v>0</v>
      </c>
      <c r="LC161" s="29">
        <f t="shared" si="7"/>
        <v>0</v>
      </c>
      <c r="LD161" s="29">
        <f t="shared" si="7"/>
        <v>0</v>
      </c>
      <c r="LE161" s="29">
        <f t="shared" si="7"/>
        <v>0</v>
      </c>
      <c r="LF161" s="23"/>
      <c r="LG161" s="29">
        <f t="shared" ref="LG161:MR161" si="8">SUM(LG5:LG159)</f>
        <v>0</v>
      </c>
      <c r="LH161" s="29">
        <f t="shared" si="8"/>
        <v>0</v>
      </c>
      <c r="LI161" s="29">
        <f t="shared" si="8"/>
        <v>0</v>
      </c>
      <c r="LJ161" s="29">
        <f t="shared" si="8"/>
        <v>0</v>
      </c>
      <c r="LK161" s="29">
        <f t="shared" si="8"/>
        <v>0</v>
      </c>
      <c r="LL161" s="29">
        <f t="shared" si="8"/>
        <v>0</v>
      </c>
      <c r="LM161" s="29">
        <f t="shared" si="8"/>
        <v>0</v>
      </c>
      <c r="LN161" s="29">
        <f t="shared" si="8"/>
        <v>0</v>
      </c>
      <c r="LO161" s="29">
        <f t="shared" si="8"/>
        <v>0</v>
      </c>
      <c r="LP161" s="29">
        <f t="shared" si="8"/>
        <v>0</v>
      </c>
      <c r="LQ161" s="29">
        <f t="shared" si="8"/>
        <v>0</v>
      </c>
      <c r="LR161" s="29">
        <f t="shared" si="8"/>
        <v>0</v>
      </c>
      <c r="LS161" s="29">
        <f t="shared" si="8"/>
        <v>0</v>
      </c>
      <c r="LT161" s="29">
        <f t="shared" si="8"/>
        <v>0</v>
      </c>
      <c r="LU161" s="29">
        <f t="shared" si="8"/>
        <v>0</v>
      </c>
      <c r="LV161" s="29">
        <f t="shared" si="8"/>
        <v>0</v>
      </c>
      <c r="LW161" s="29">
        <f t="shared" si="8"/>
        <v>0</v>
      </c>
      <c r="LX161" s="29">
        <f t="shared" si="8"/>
        <v>0</v>
      </c>
      <c r="LY161" s="29">
        <f t="shared" si="8"/>
        <v>0</v>
      </c>
      <c r="LZ161" s="29">
        <f t="shared" si="8"/>
        <v>0</v>
      </c>
      <c r="MA161" s="29">
        <f t="shared" si="8"/>
        <v>0</v>
      </c>
      <c r="MB161" s="29">
        <f t="shared" si="8"/>
        <v>0</v>
      </c>
      <c r="MC161" s="29">
        <f t="shared" si="8"/>
        <v>0</v>
      </c>
      <c r="MD161" s="29">
        <f t="shared" si="8"/>
        <v>0</v>
      </c>
      <c r="ME161" s="29">
        <f t="shared" si="8"/>
        <v>0</v>
      </c>
      <c r="MF161" s="29">
        <f t="shared" si="8"/>
        <v>0</v>
      </c>
      <c r="MG161" s="29">
        <f t="shared" si="8"/>
        <v>0</v>
      </c>
      <c r="MH161" s="29">
        <f t="shared" si="8"/>
        <v>0</v>
      </c>
      <c r="MI161" s="29">
        <f t="shared" si="8"/>
        <v>0</v>
      </c>
      <c r="MJ161" s="29">
        <f t="shared" si="8"/>
        <v>0</v>
      </c>
      <c r="MK161" s="29">
        <f t="shared" si="8"/>
        <v>0</v>
      </c>
      <c r="ML161" s="29">
        <f t="shared" si="8"/>
        <v>0</v>
      </c>
      <c r="MM161" s="29">
        <f t="shared" si="8"/>
        <v>0</v>
      </c>
      <c r="MN161" s="29">
        <f t="shared" si="8"/>
        <v>0</v>
      </c>
      <c r="MO161" s="29">
        <f t="shared" si="8"/>
        <v>0</v>
      </c>
      <c r="MP161" s="29">
        <f t="shared" si="8"/>
        <v>0</v>
      </c>
      <c r="MQ161" s="29">
        <f t="shared" si="8"/>
        <v>0</v>
      </c>
      <c r="MR161" s="29">
        <f t="shared" si="8"/>
        <v>0</v>
      </c>
      <c r="MS161" s="23"/>
      <c r="MT161" s="29">
        <f t="shared" ref="MT161:OE161" si="9">SUM(MT5:MT159)</f>
        <v>0</v>
      </c>
      <c r="MU161" s="29">
        <f t="shared" si="9"/>
        <v>0</v>
      </c>
      <c r="MV161" s="29">
        <f t="shared" si="9"/>
        <v>0</v>
      </c>
      <c r="MW161" s="29">
        <f t="shared" si="9"/>
        <v>0</v>
      </c>
      <c r="MX161" s="29">
        <f t="shared" si="9"/>
        <v>0</v>
      </c>
      <c r="MY161" s="29">
        <f t="shared" si="9"/>
        <v>0</v>
      </c>
      <c r="MZ161" s="29">
        <f t="shared" si="9"/>
        <v>0</v>
      </c>
      <c r="NA161" s="29">
        <f t="shared" si="9"/>
        <v>0</v>
      </c>
      <c r="NB161" s="29">
        <f t="shared" si="9"/>
        <v>0</v>
      </c>
      <c r="NC161" s="29">
        <f t="shared" si="9"/>
        <v>0</v>
      </c>
      <c r="ND161" s="29">
        <f t="shared" si="9"/>
        <v>0</v>
      </c>
      <c r="NE161" s="29">
        <f t="shared" si="9"/>
        <v>0</v>
      </c>
      <c r="NF161" s="29">
        <f t="shared" si="9"/>
        <v>0</v>
      </c>
      <c r="NG161" s="29">
        <f t="shared" si="9"/>
        <v>0</v>
      </c>
      <c r="NH161" s="29">
        <f t="shared" si="9"/>
        <v>0</v>
      </c>
      <c r="NI161" s="29">
        <f t="shared" si="9"/>
        <v>0</v>
      </c>
      <c r="NJ161" s="29">
        <f t="shared" si="9"/>
        <v>0</v>
      </c>
      <c r="NK161" s="29">
        <f t="shared" si="9"/>
        <v>0</v>
      </c>
      <c r="NL161" s="29">
        <f t="shared" si="9"/>
        <v>0</v>
      </c>
      <c r="NM161" s="29">
        <f t="shared" si="9"/>
        <v>0</v>
      </c>
      <c r="NN161" s="29">
        <f t="shared" si="9"/>
        <v>0</v>
      </c>
      <c r="NO161" s="29">
        <f t="shared" si="9"/>
        <v>0</v>
      </c>
      <c r="NP161" s="29">
        <f t="shared" si="9"/>
        <v>0</v>
      </c>
      <c r="NQ161" s="29">
        <f t="shared" si="9"/>
        <v>0</v>
      </c>
      <c r="NR161" s="29">
        <f t="shared" si="9"/>
        <v>0</v>
      </c>
      <c r="NS161" s="29">
        <f t="shared" si="9"/>
        <v>0</v>
      </c>
      <c r="NT161" s="29">
        <f t="shared" si="9"/>
        <v>0</v>
      </c>
      <c r="NU161" s="29">
        <f t="shared" si="9"/>
        <v>0</v>
      </c>
      <c r="NV161" s="29">
        <f t="shared" si="9"/>
        <v>0</v>
      </c>
      <c r="NW161" s="29">
        <f t="shared" si="9"/>
        <v>0</v>
      </c>
      <c r="NX161" s="29">
        <f t="shared" si="9"/>
        <v>0</v>
      </c>
      <c r="NY161" s="29">
        <f t="shared" si="9"/>
        <v>0</v>
      </c>
      <c r="NZ161" s="29">
        <f t="shared" si="9"/>
        <v>0</v>
      </c>
      <c r="OA161" s="29">
        <f t="shared" si="9"/>
        <v>0</v>
      </c>
      <c r="OB161" s="29">
        <f t="shared" si="9"/>
        <v>0</v>
      </c>
      <c r="OC161" s="29">
        <f t="shared" si="9"/>
        <v>0</v>
      </c>
      <c r="OD161" s="29">
        <f t="shared" si="9"/>
        <v>0</v>
      </c>
      <c r="OE161" s="29">
        <f t="shared" si="9"/>
        <v>0</v>
      </c>
      <c r="OF161" s="23"/>
      <c r="OG161" s="29">
        <f t="shared" ref="OG161:PR161" si="10">SUM(OG5:OG159)</f>
        <v>0</v>
      </c>
      <c r="OH161" s="29">
        <f t="shared" si="10"/>
        <v>0</v>
      </c>
      <c r="OI161" s="29">
        <f t="shared" si="10"/>
        <v>0</v>
      </c>
      <c r="OJ161" s="29">
        <f t="shared" si="10"/>
        <v>0</v>
      </c>
      <c r="OK161" s="29">
        <f t="shared" si="10"/>
        <v>0</v>
      </c>
      <c r="OL161" s="29">
        <f t="shared" si="10"/>
        <v>0</v>
      </c>
      <c r="OM161" s="29">
        <f t="shared" si="10"/>
        <v>0</v>
      </c>
      <c r="ON161" s="29">
        <f t="shared" si="10"/>
        <v>0</v>
      </c>
      <c r="OO161" s="29">
        <f t="shared" si="10"/>
        <v>0</v>
      </c>
      <c r="OP161" s="29">
        <f t="shared" si="10"/>
        <v>0</v>
      </c>
      <c r="OQ161" s="29">
        <f t="shared" si="10"/>
        <v>0</v>
      </c>
      <c r="OR161" s="29">
        <f t="shared" si="10"/>
        <v>0</v>
      </c>
      <c r="OS161" s="29">
        <f t="shared" si="10"/>
        <v>0</v>
      </c>
      <c r="OT161" s="29">
        <f t="shared" si="10"/>
        <v>0</v>
      </c>
      <c r="OU161" s="29">
        <f t="shared" si="10"/>
        <v>0</v>
      </c>
      <c r="OV161" s="29">
        <f t="shared" si="10"/>
        <v>0</v>
      </c>
      <c r="OW161" s="29">
        <f t="shared" si="10"/>
        <v>0</v>
      </c>
      <c r="OX161" s="29">
        <f t="shared" si="10"/>
        <v>0</v>
      </c>
      <c r="OY161" s="29">
        <f t="shared" si="10"/>
        <v>0</v>
      </c>
      <c r="OZ161" s="29">
        <f t="shared" si="10"/>
        <v>0</v>
      </c>
      <c r="PA161" s="29">
        <f t="shared" si="10"/>
        <v>0</v>
      </c>
      <c r="PB161" s="29">
        <f t="shared" si="10"/>
        <v>0</v>
      </c>
      <c r="PC161" s="29">
        <f t="shared" si="10"/>
        <v>0</v>
      </c>
      <c r="PD161" s="29">
        <f t="shared" si="10"/>
        <v>0</v>
      </c>
      <c r="PE161" s="29">
        <f t="shared" si="10"/>
        <v>0</v>
      </c>
      <c r="PF161" s="29">
        <f t="shared" si="10"/>
        <v>0</v>
      </c>
      <c r="PG161" s="29">
        <f t="shared" si="10"/>
        <v>0</v>
      </c>
      <c r="PH161" s="29">
        <f t="shared" si="10"/>
        <v>0</v>
      </c>
      <c r="PI161" s="29">
        <f t="shared" si="10"/>
        <v>0</v>
      </c>
      <c r="PJ161" s="29">
        <f t="shared" si="10"/>
        <v>0</v>
      </c>
      <c r="PK161" s="29">
        <f t="shared" si="10"/>
        <v>0</v>
      </c>
      <c r="PL161" s="29">
        <f t="shared" si="10"/>
        <v>0</v>
      </c>
      <c r="PM161" s="29">
        <f t="shared" si="10"/>
        <v>0</v>
      </c>
      <c r="PN161" s="29">
        <f t="shared" si="10"/>
        <v>0</v>
      </c>
      <c r="PO161" s="29">
        <f t="shared" si="10"/>
        <v>0</v>
      </c>
      <c r="PP161" s="29">
        <f t="shared" si="10"/>
        <v>0</v>
      </c>
      <c r="PQ161" s="29">
        <f t="shared" si="10"/>
        <v>0</v>
      </c>
      <c r="PR161" s="29">
        <f t="shared" si="10"/>
        <v>0</v>
      </c>
    </row>
    <row r="162" spans="1:434" x14ac:dyDescent="0.25">
      <c r="A162" s="30"/>
      <c r="B162" s="31" t="s">
        <v>227</v>
      </c>
      <c r="C162" s="30"/>
      <c r="D162" s="30"/>
      <c r="F162" s="23"/>
      <c r="G162" s="32">
        <f t="shared" ref="G162:AR162" si="11">IFERROR(G161/40,0)</f>
        <v>0</v>
      </c>
      <c r="H162" s="32">
        <f t="shared" si="11"/>
        <v>0</v>
      </c>
      <c r="I162" s="32">
        <f t="shared" si="11"/>
        <v>0</v>
      </c>
      <c r="J162" s="32">
        <f t="shared" si="11"/>
        <v>0</v>
      </c>
      <c r="K162" s="32">
        <f t="shared" si="11"/>
        <v>0</v>
      </c>
      <c r="L162" s="32">
        <f t="shared" si="11"/>
        <v>0</v>
      </c>
      <c r="M162" s="32">
        <f t="shared" si="11"/>
        <v>0</v>
      </c>
      <c r="N162" s="32">
        <f t="shared" si="11"/>
        <v>0</v>
      </c>
      <c r="O162" s="32">
        <f t="shared" si="11"/>
        <v>0</v>
      </c>
      <c r="P162" s="32">
        <f t="shared" si="11"/>
        <v>0</v>
      </c>
      <c r="Q162" s="32">
        <f t="shared" si="11"/>
        <v>0</v>
      </c>
      <c r="R162" s="32">
        <f t="shared" si="11"/>
        <v>0</v>
      </c>
      <c r="S162" s="32">
        <f t="shared" si="11"/>
        <v>0</v>
      </c>
      <c r="T162" s="32">
        <f t="shared" si="11"/>
        <v>0</v>
      </c>
      <c r="U162" s="32">
        <f t="shared" si="11"/>
        <v>0</v>
      </c>
      <c r="V162" s="32">
        <f t="shared" si="11"/>
        <v>0</v>
      </c>
      <c r="W162" s="32">
        <f t="shared" si="11"/>
        <v>0</v>
      </c>
      <c r="X162" s="32">
        <f t="shared" si="11"/>
        <v>0</v>
      </c>
      <c r="Y162" s="32">
        <f t="shared" si="11"/>
        <v>0</v>
      </c>
      <c r="Z162" s="32">
        <f t="shared" si="11"/>
        <v>0</v>
      </c>
      <c r="AA162" s="32">
        <f t="shared" si="11"/>
        <v>0</v>
      </c>
      <c r="AB162" s="32">
        <f t="shared" si="11"/>
        <v>0</v>
      </c>
      <c r="AC162" s="32">
        <f t="shared" si="11"/>
        <v>0</v>
      </c>
      <c r="AD162" s="32">
        <f t="shared" si="11"/>
        <v>0</v>
      </c>
      <c r="AE162" s="32">
        <f t="shared" si="11"/>
        <v>0</v>
      </c>
      <c r="AF162" s="32">
        <f t="shared" si="11"/>
        <v>0</v>
      </c>
      <c r="AG162" s="32">
        <f t="shared" si="11"/>
        <v>0</v>
      </c>
      <c r="AH162" s="32">
        <f t="shared" si="11"/>
        <v>0</v>
      </c>
      <c r="AI162" s="32">
        <f t="shared" si="11"/>
        <v>0</v>
      </c>
      <c r="AJ162" s="32">
        <f t="shared" si="11"/>
        <v>0</v>
      </c>
      <c r="AK162" s="32">
        <f t="shared" si="11"/>
        <v>0</v>
      </c>
      <c r="AL162" s="32">
        <f t="shared" si="11"/>
        <v>0</v>
      </c>
      <c r="AM162" s="32">
        <f t="shared" si="11"/>
        <v>0</v>
      </c>
      <c r="AN162" s="32">
        <f t="shared" si="11"/>
        <v>0</v>
      </c>
      <c r="AO162" s="32">
        <f t="shared" si="11"/>
        <v>0</v>
      </c>
      <c r="AP162" s="32">
        <f t="shared" si="11"/>
        <v>0</v>
      </c>
      <c r="AQ162" s="32">
        <f t="shared" si="11"/>
        <v>0</v>
      </c>
      <c r="AR162" s="32">
        <f t="shared" si="11"/>
        <v>0</v>
      </c>
      <c r="AS162" s="23"/>
      <c r="AT162" s="32">
        <f t="shared" ref="AT162:CE162" si="12">IFERROR(AT161/80,0)</f>
        <v>0</v>
      </c>
      <c r="AU162" s="32">
        <f t="shared" si="12"/>
        <v>0</v>
      </c>
      <c r="AV162" s="32">
        <f t="shared" si="12"/>
        <v>0</v>
      </c>
      <c r="AW162" s="32">
        <f t="shared" si="12"/>
        <v>0</v>
      </c>
      <c r="AX162" s="32">
        <f t="shared" si="12"/>
        <v>0</v>
      </c>
      <c r="AY162" s="32">
        <f t="shared" si="12"/>
        <v>0</v>
      </c>
      <c r="AZ162" s="32">
        <f t="shared" si="12"/>
        <v>0</v>
      </c>
      <c r="BA162" s="32">
        <f t="shared" si="12"/>
        <v>0</v>
      </c>
      <c r="BB162" s="32">
        <f t="shared" si="12"/>
        <v>0</v>
      </c>
      <c r="BC162" s="32">
        <f t="shared" si="12"/>
        <v>0</v>
      </c>
      <c r="BD162" s="32">
        <f t="shared" si="12"/>
        <v>0</v>
      </c>
      <c r="BE162" s="32">
        <f t="shared" si="12"/>
        <v>0</v>
      </c>
      <c r="BF162" s="32">
        <f t="shared" si="12"/>
        <v>0</v>
      </c>
      <c r="BG162" s="32">
        <f t="shared" si="12"/>
        <v>0</v>
      </c>
      <c r="BH162" s="32">
        <f t="shared" si="12"/>
        <v>0</v>
      </c>
      <c r="BI162" s="32">
        <f t="shared" si="12"/>
        <v>0</v>
      </c>
      <c r="BJ162" s="32">
        <f t="shared" si="12"/>
        <v>0</v>
      </c>
      <c r="BK162" s="32">
        <f t="shared" si="12"/>
        <v>0</v>
      </c>
      <c r="BL162" s="32">
        <f t="shared" si="12"/>
        <v>0</v>
      </c>
      <c r="BM162" s="32">
        <f t="shared" si="12"/>
        <v>0</v>
      </c>
      <c r="BN162" s="32">
        <f t="shared" si="12"/>
        <v>0</v>
      </c>
      <c r="BO162" s="32">
        <f t="shared" si="12"/>
        <v>0</v>
      </c>
      <c r="BP162" s="32">
        <f t="shared" si="12"/>
        <v>0</v>
      </c>
      <c r="BQ162" s="32">
        <f t="shared" si="12"/>
        <v>0</v>
      </c>
      <c r="BR162" s="32">
        <f t="shared" si="12"/>
        <v>0</v>
      </c>
      <c r="BS162" s="32">
        <f t="shared" si="12"/>
        <v>0</v>
      </c>
      <c r="BT162" s="32">
        <f t="shared" si="12"/>
        <v>0</v>
      </c>
      <c r="BU162" s="32">
        <f t="shared" si="12"/>
        <v>0</v>
      </c>
      <c r="BV162" s="32">
        <f t="shared" si="12"/>
        <v>0</v>
      </c>
      <c r="BW162" s="32">
        <f t="shared" si="12"/>
        <v>0</v>
      </c>
      <c r="BX162" s="32">
        <f t="shared" si="12"/>
        <v>0</v>
      </c>
      <c r="BY162" s="32">
        <f t="shared" si="12"/>
        <v>0</v>
      </c>
      <c r="BZ162" s="32">
        <f t="shared" si="12"/>
        <v>0</v>
      </c>
      <c r="CA162" s="32">
        <f t="shared" si="12"/>
        <v>0</v>
      </c>
      <c r="CB162" s="32">
        <f t="shared" si="12"/>
        <v>0</v>
      </c>
      <c r="CC162" s="32">
        <f t="shared" si="12"/>
        <v>0</v>
      </c>
      <c r="CD162" s="32">
        <f t="shared" si="12"/>
        <v>0</v>
      </c>
      <c r="CE162" s="32">
        <f t="shared" si="12"/>
        <v>0</v>
      </c>
      <c r="CF162" s="23"/>
      <c r="CG162" s="32">
        <f t="shared" ref="CG162:DR162" si="13">IFERROR(CG161/80,0)</f>
        <v>0</v>
      </c>
      <c r="CH162" s="32">
        <f t="shared" si="13"/>
        <v>0</v>
      </c>
      <c r="CI162" s="32">
        <f t="shared" si="13"/>
        <v>0</v>
      </c>
      <c r="CJ162" s="32">
        <f t="shared" si="13"/>
        <v>0</v>
      </c>
      <c r="CK162" s="32">
        <f t="shared" si="13"/>
        <v>0</v>
      </c>
      <c r="CL162" s="32">
        <f t="shared" si="13"/>
        <v>0</v>
      </c>
      <c r="CM162" s="32">
        <f t="shared" si="13"/>
        <v>0</v>
      </c>
      <c r="CN162" s="32">
        <f t="shared" si="13"/>
        <v>0</v>
      </c>
      <c r="CO162" s="32">
        <f t="shared" si="13"/>
        <v>0</v>
      </c>
      <c r="CP162" s="32">
        <f t="shared" si="13"/>
        <v>0</v>
      </c>
      <c r="CQ162" s="32">
        <f t="shared" si="13"/>
        <v>0</v>
      </c>
      <c r="CR162" s="32">
        <f t="shared" si="13"/>
        <v>0</v>
      </c>
      <c r="CS162" s="32">
        <f t="shared" si="13"/>
        <v>0</v>
      </c>
      <c r="CT162" s="32">
        <f t="shared" si="13"/>
        <v>0</v>
      </c>
      <c r="CU162" s="32">
        <f t="shared" si="13"/>
        <v>0</v>
      </c>
      <c r="CV162" s="32">
        <f t="shared" si="13"/>
        <v>0</v>
      </c>
      <c r="CW162" s="32">
        <f t="shared" si="13"/>
        <v>0</v>
      </c>
      <c r="CX162" s="32">
        <f t="shared" si="13"/>
        <v>0</v>
      </c>
      <c r="CY162" s="32">
        <f t="shared" si="13"/>
        <v>0</v>
      </c>
      <c r="CZ162" s="32">
        <f t="shared" si="13"/>
        <v>0</v>
      </c>
      <c r="DA162" s="32">
        <f t="shared" si="13"/>
        <v>0</v>
      </c>
      <c r="DB162" s="32">
        <f t="shared" si="13"/>
        <v>0</v>
      </c>
      <c r="DC162" s="32">
        <f t="shared" si="13"/>
        <v>0</v>
      </c>
      <c r="DD162" s="32">
        <f t="shared" si="13"/>
        <v>0</v>
      </c>
      <c r="DE162" s="32">
        <f t="shared" si="13"/>
        <v>0</v>
      </c>
      <c r="DF162" s="32">
        <f t="shared" si="13"/>
        <v>0</v>
      </c>
      <c r="DG162" s="32">
        <f t="shared" si="13"/>
        <v>0</v>
      </c>
      <c r="DH162" s="32">
        <f t="shared" si="13"/>
        <v>0</v>
      </c>
      <c r="DI162" s="32">
        <f t="shared" si="13"/>
        <v>0</v>
      </c>
      <c r="DJ162" s="32">
        <f t="shared" si="13"/>
        <v>0</v>
      </c>
      <c r="DK162" s="32">
        <f t="shared" si="13"/>
        <v>0</v>
      </c>
      <c r="DL162" s="32">
        <f t="shared" si="13"/>
        <v>0</v>
      </c>
      <c r="DM162" s="32">
        <f t="shared" si="13"/>
        <v>0</v>
      </c>
      <c r="DN162" s="32">
        <f t="shared" si="13"/>
        <v>0</v>
      </c>
      <c r="DO162" s="32">
        <f t="shared" si="13"/>
        <v>0</v>
      </c>
      <c r="DP162" s="32">
        <f t="shared" si="13"/>
        <v>0</v>
      </c>
      <c r="DQ162" s="32">
        <f t="shared" si="13"/>
        <v>0</v>
      </c>
      <c r="DR162" s="32">
        <f t="shared" si="13"/>
        <v>0</v>
      </c>
      <c r="DS162" s="23"/>
      <c r="DT162" s="32">
        <f t="shared" ref="DT162:FE162" si="14">IFERROR(DT161/120,0)</f>
        <v>0</v>
      </c>
      <c r="DU162" s="32">
        <f t="shared" si="14"/>
        <v>0</v>
      </c>
      <c r="DV162" s="32">
        <f t="shared" si="14"/>
        <v>0</v>
      </c>
      <c r="DW162" s="32">
        <f t="shared" si="14"/>
        <v>0</v>
      </c>
      <c r="DX162" s="32">
        <f t="shared" si="14"/>
        <v>0</v>
      </c>
      <c r="DY162" s="32">
        <f t="shared" si="14"/>
        <v>0</v>
      </c>
      <c r="DZ162" s="32">
        <f t="shared" si="14"/>
        <v>0</v>
      </c>
      <c r="EA162" s="32">
        <f t="shared" si="14"/>
        <v>0</v>
      </c>
      <c r="EB162" s="32">
        <f t="shared" si="14"/>
        <v>0</v>
      </c>
      <c r="EC162" s="32">
        <f t="shared" si="14"/>
        <v>0</v>
      </c>
      <c r="ED162" s="32">
        <f t="shared" si="14"/>
        <v>0</v>
      </c>
      <c r="EE162" s="32">
        <f t="shared" si="14"/>
        <v>0</v>
      </c>
      <c r="EF162" s="32">
        <f t="shared" si="14"/>
        <v>0</v>
      </c>
      <c r="EG162" s="32">
        <f t="shared" si="14"/>
        <v>0</v>
      </c>
      <c r="EH162" s="32">
        <f t="shared" si="14"/>
        <v>0</v>
      </c>
      <c r="EI162" s="32">
        <f t="shared" si="14"/>
        <v>0</v>
      </c>
      <c r="EJ162" s="32">
        <f t="shared" si="14"/>
        <v>0</v>
      </c>
      <c r="EK162" s="32">
        <f t="shared" si="14"/>
        <v>0</v>
      </c>
      <c r="EL162" s="32">
        <f t="shared" si="14"/>
        <v>0</v>
      </c>
      <c r="EM162" s="32">
        <f t="shared" si="14"/>
        <v>0</v>
      </c>
      <c r="EN162" s="32">
        <f t="shared" si="14"/>
        <v>0</v>
      </c>
      <c r="EO162" s="32">
        <f t="shared" si="14"/>
        <v>0</v>
      </c>
      <c r="EP162" s="32">
        <f t="shared" si="14"/>
        <v>0</v>
      </c>
      <c r="EQ162" s="32">
        <f t="shared" si="14"/>
        <v>0</v>
      </c>
      <c r="ER162" s="32">
        <f t="shared" si="14"/>
        <v>0</v>
      </c>
      <c r="ES162" s="32">
        <f t="shared" si="14"/>
        <v>0</v>
      </c>
      <c r="ET162" s="32">
        <f t="shared" si="14"/>
        <v>0</v>
      </c>
      <c r="EU162" s="32">
        <f t="shared" si="14"/>
        <v>0</v>
      </c>
      <c r="EV162" s="32">
        <f t="shared" si="14"/>
        <v>0</v>
      </c>
      <c r="EW162" s="32">
        <f t="shared" si="14"/>
        <v>0</v>
      </c>
      <c r="EX162" s="32">
        <f t="shared" si="14"/>
        <v>0</v>
      </c>
      <c r="EY162" s="32">
        <f t="shared" si="14"/>
        <v>0</v>
      </c>
      <c r="EZ162" s="32">
        <f t="shared" si="14"/>
        <v>0</v>
      </c>
      <c r="FA162" s="32">
        <f t="shared" si="14"/>
        <v>0</v>
      </c>
      <c r="FB162" s="32">
        <f t="shared" si="14"/>
        <v>0</v>
      </c>
      <c r="FC162" s="32">
        <f t="shared" si="14"/>
        <v>0</v>
      </c>
      <c r="FD162" s="32">
        <f t="shared" si="14"/>
        <v>0</v>
      </c>
      <c r="FE162" s="32">
        <f t="shared" si="14"/>
        <v>0</v>
      </c>
      <c r="FF162" s="23"/>
      <c r="FG162" s="32">
        <f t="shared" ref="FG162:GR162" si="15">IFERROR(FG161/80,0)</f>
        <v>0</v>
      </c>
      <c r="FH162" s="32">
        <f t="shared" si="15"/>
        <v>0</v>
      </c>
      <c r="FI162" s="32">
        <f t="shared" si="15"/>
        <v>0</v>
      </c>
      <c r="FJ162" s="32">
        <f t="shared" si="15"/>
        <v>0</v>
      </c>
      <c r="FK162" s="32">
        <f t="shared" si="15"/>
        <v>0</v>
      </c>
      <c r="FL162" s="32">
        <f t="shared" si="15"/>
        <v>0</v>
      </c>
      <c r="FM162" s="32">
        <f t="shared" si="15"/>
        <v>0</v>
      </c>
      <c r="FN162" s="32">
        <f t="shared" si="15"/>
        <v>0</v>
      </c>
      <c r="FO162" s="32">
        <f t="shared" si="15"/>
        <v>0</v>
      </c>
      <c r="FP162" s="32">
        <f t="shared" si="15"/>
        <v>0</v>
      </c>
      <c r="FQ162" s="32">
        <f t="shared" si="15"/>
        <v>0</v>
      </c>
      <c r="FR162" s="32">
        <f t="shared" si="15"/>
        <v>0</v>
      </c>
      <c r="FS162" s="32">
        <f t="shared" si="15"/>
        <v>0</v>
      </c>
      <c r="FT162" s="32">
        <f t="shared" si="15"/>
        <v>0</v>
      </c>
      <c r="FU162" s="32">
        <f t="shared" si="15"/>
        <v>0</v>
      </c>
      <c r="FV162" s="32">
        <f t="shared" si="15"/>
        <v>0</v>
      </c>
      <c r="FW162" s="32">
        <f t="shared" si="15"/>
        <v>0</v>
      </c>
      <c r="FX162" s="32">
        <f t="shared" si="15"/>
        <v>0</v>
      </c>
      <c r="FY162" s="32">
        <f t="shared" si="15"/>
        <v>0</v>
      </c>
      <c r="FZ162" s="32">
        <f t="shared" si="15"/>
        <v>0</v>
      </c>
      <c r="GA162" s="32">
        <f t="shared" si="15"/>
        <v>0</v>
      </c>
      <c r="GB162" s="32">
        <f t="shared" si="15"/>
        <v>0</v>
      </c>
      <c r="GC162" s="32">
        <f t="shared" si="15"/>
        <v>0</v>
      </c>
      <c r="GD162" s="32">
        <f t="shared" si="15"/>
        <v>0</v>
      </c>
      <c r="GE162" s="32">
        <f t="shared" si="15"/>
        <v>0</v>
      </c>
      <c r="GF162" s="32">
        <f t="shared" si="15"/>
        <v>0</v>
      </c>
      <c r="GG162" s="32">
        <f t="shared" si="15"/>
        <v>0</v>
      </c>
      <c r="GH162" s="32">
        <f t="shared" si="15"/>
        <v>0</v>
      </c>
      <c r="GI162" s="32">
        <f t="shared" si="15"/>
        <v>0</v>
      </c>
      <c r="GJ162" s="32">
        <f t="shared" si="15"/>
        <v>0</v>
      </c>
      <c r="GK162" s="32">
        <f t="shared" si="15"/>
        <v>0</v>
      </c>
      <c r="GL162" s="32">
        <f t="shared" si="15"/>
        <v>0</v>
      </c>
      <c r="GM162" s="32">
        <f t="shared" si="15"/>
        <v>0</v>
      </c>
      <c r="GN162" s="32">
        <f t="shared" si="15"/>
        <v>0</v>
      </c>
      <c r="GO162" s="32">
        <f t="shared" si="15"/>
        <v>0</v>
      </c>
      <c r="GP162" s="32">
        <f t="shared" si="15"/>
        <v>0</v>
      </c>
      <c r="GQ162" s="32">
        <f t="shared" si="15"/>
        <v>0</v>
      </c>
      <c r="GR162" s="32">
        <f t="shared" si="15"/>
        <v>0</v>
      </c>
      <c r="GS162" s="23"/>
      <c r="GT162" s="32">
        <f t="shared" ref="GT162:IE162" si="16">IFERROR(GT161/40,0)</f>
        <v>0</v>
      </c>
      <c r="GU162" s="32">
        <f t="shared" si="16"/>
        <v>0</v>
      </c>
      <c r="GV162" s="32">
        <f t="shared" si="16"/>
        <v>0</v>
      </c>
      <c r="GW162" s="32">
        <f t="shared" si="16"/>
        <v>0</v>
      </c>
      <c r="GX162" s="32">
        <f t="shared" si="16"/>
        <v>0</v>
      </c>
      <c r="GY162" s="32">
        <f t="shared" si="16"/>
        <v>0</v>
      </c>
      <c r="GZ162" s="32">
        <f t="shared" si="16"/>
        <v>0</v>
      </c>
      <c r="HA162" s="32">
        <f t="shared" si="16"/>
        <v>0</v>
      </c>
      <c r="HB162" s="32">
        <f t="shared" si="16"/>
        <v>0</v>
      </c>
      <c r="HC162" s="32">
        <f t="shared" si="16"/>
        <v>0</v>
      </c>
      <c r="HD162" s="32">
        <f t="shared" si="16"/>
        <v>0</v>
      </c>
      <c r="HE162" s="32">
        <f t="shared" si="16"/>
        <v>0</v>
      </c>
      <c r="HF162" s="32">
        <f t="shared" si="16"/>
        <v>0</v>
      </c>
      <c r="HG162" s="32">
        <f t="shared" si="16"/>
        <v>0</v>
      </c>
      <c r="HH162" s="32">
        <f t="shared" si="16"/>
        <v>0</v>
      </c>
      <c r="HI162" s="32">
        <f t="shared" si="16"/>
        <v>0</v>
      </c>
      <c r="HJ162" s="32">
        <f t="shared" si="16"/>
        <v>0</v>
      </c>
      <c r="HK162" s="32">
        <f t="shared" si="16"/>
        <v>0</v>
      </c>
      <c r="HL162" s="32">
        <f t="shared" si="16"/>
        <v>0</v>
      </c>
      <c r="HM162" s="32">
        <f t="shared" si="16"/>
        <v>0</v>
      </c>
      <c r="HN162" s="32">
        <f t="shared" si="16"/>
        <v>0</v>
      </c>
      <c r="HO162" s="32">
        <f t="shared" si="16"/>
        <v>0</v>
      </c>
      <c r="HP162" s="32">
        <f t="shared" si="16"/>
        <v>0</v>
      </c>
      <c r="HQ162" s="32">
        <f t="shared" si="16"/>
        <v>0</v>
      </c>
      <c r="HR162" s="32">
        <f t="shared" si="16"/>
        <v>0</v>
      </c>
      <c r="HS162" s="32">
        <f t="shared" si="16"/>
        <v>0</v>
      </c>
      <c r="HT162" s="32">
        <f t="shared" si="16"/>
        <v>0</v>
      </c>
      <c r="HU162" s="32">
        <f t="shared" si="16"/>
        <v>0</v>
      </c>
      <c r="HV162" s="32">
        <f t="shared" si="16"/>
        <v>0</v>
      </c>
      <c r="HW162" s="32">
        <f t="shared" si="16"/>
        <v>0</v>
      </c>
      <c r="HX162" s="32">
        <f t="shared" si="16"/>
        <v>0</v>
      </c>
      <c r="HY162" s="32">
        <f t="shared" si="16"/>
        <v>0</v>
      </c>
      <c r="HZ162" s="32">
        <f t="shared" si="16"/>
        <v>0</v>
      </c>
      <c r="IA162" s="32">
        <f t="shared" si="16"/>
        <v>0</v>
      </c>
      <c r="IB162" s="32">
        <f t="shared" si="16"/>
        <v>0</v>
      </c>
      <c r="IC162" s="32">
        <f t="shared" si="16"/>
        <v>0</v>
      </c>
      <c r="ID162" s="32">
        <f t="shared" si="16"/>
        <v>0</v>
      </c>
      <c r="IE162" s="32">
        <f t="shared" si="16"/>
        <v>0</v>
      </c>
      <c r="IF162" s="23"/>
      <c r="IG162" s="32">
        <f t="shared" ref="IG162:JR162" si="17">IFERROR(IG161/30,0)</f>
        <v>0</v>
      </c>
      <c r="IH162" s="32">
        <f t="shared" si="17"/>
        <v>0</v>
      </c>
      <c r="II162" s="32">
        <f t="shared" si="17"/>
        <v>0</v>
      </c>
      <c r="IJ162" s="32">
        <f t="shared" si="17"/>
        <v>0</v>
      </c>
      <c r="IK162" s="32">
        <f t="shared" si="17"/>
        <v>0</v>
      </c>
      <c r="IL162" s="32">
        <f t="shared" si="17"/>
        <v>0</v>
      </c>
      <c r="IM162" s="32">
        <f t="shared" si="17"/>
        <v>0</v>
      </c>
      <c r="IN162" s="32">
        <f t="shared" si="17"/>
        <v>0</v>
      </c>
      <c r="IO162" s="32">
        <f t="shared" si="17"/>
        <v>0</v>
      </c>
      <c r="IP162" s="32">
        <f t="shared" si="17"/>
        <v>0</v>
      </c>
      <c r="IQ162" s="32">
        <f t="shared" si="17"/>
        <v>0</v>
      </c>
      <c r="IR162" s="32">
        <f t="shared" si="17"/>
        <v>0</v>
      </c>
      <c r="IS162" s="32">
        <f t="shared" si="17"/>
        <v>0</v>
      </c>
      <c r="IT162" s="32">
        <f t="shared" si="17"/>
        <v>0</v>
      </c>
      <c r="IU162" s="32">
        <f t="shared" si="17"/>
        <v>0</v>
      </c>
      <c r="IV162" s="32">
        <f t="shared" si="17"/>
        <v>0</v>
      </c>
      <c r="IW162" s="32">
        <f t="shared" si="17"/>
        <v>0</v>
      </c>
      <c r="IX162" s="32">
        <f t="shared" si="17"/>
        <v>0</v>
      </c>
      <c r="IY162" s="32">
        <f t="shared" si="17"/>
        <v>0</v>
      </c>
      <c r="IZ162" s="32">
        <f t="shared" si="17"/>
        <v>0</v>
      </c>
      <c r="JA162" s="32">
        <f t="shared" si="17"/>
        <v>0</v>
      </c>
      <c r="JB162" s="32">
        <f t="shared" si="17"/>
        <v>0</v>
      </c>
      <c r="JC162" s="32">
        <f t="shared" si="17"/>
        <v>0</v>
      </c>
      <c r="JD162" s="32">
        <f t="shared" si="17"/>
        <v>0</v>
      </c>
      <c r="JE162" s="32">
        <f t="shared" si="17"/>
        <v>0</v>
      </c>
      <c r="JF162" s="32">
        <f t="shared" si="17"/>
        <v>0</v>
      </c>
      <c r="JG162" s="32">
        <f t="shared" si="17"/>
        <v>0</v>
      </c>
      <c r="JH162" s="32">
        <f t="shared" si="17"/>
        <v>0</v>
      </c>
      <c r="JI162" s="32">
        <f t="shared" si="17"/>
        <v>0</v>
      </c>
      <c r="JJ162" s="32">
        <f t="shared" si="17"/>
        <v>0</v>
      </c>
      <c r="JK162" s="32">
        <f t="shared" si="17"/>
        <v>0</v>
      </c>
      <c r="JL162" s="32">
        <f t="shared" si="17"/>
        <v>0</v>
      </c>
      <c r="JM162" s="32">
        <f t="shared" si="17"/>
        <v>0</v>
      </c>
      <c r="JN162" s="32">
        <f t="shared" si="17"/>
        <v>0</v>
      </c>
      <c r="JO162" s="32">
        <f t="shared" si="17"/>
        <v>0</v>
      </c>
      <c r="JP162" s="32">
        <f t="shared" si="17"/>
        <v>0</v>
      </c>
      <c r="JQ162" s="32">
        <f t="shared" si="17"/>
        <v>0</v>
      </c>
      <c r="JR162" s="32">
        <f t="shared" si="17"/>
        <v>0</v>
      </c>
      <c r="JS162" s="23"/>
      <c r="JT162" s="32">
        <f t="shared" ref="JT162:LE162" si="18">IFERROR(JT161/20,0)</f>
        <v>0</v>
      </c>
      <c r="JU162" s="32">
        <f t="shared" si="18"/>
        <v>0</v>
      </c>
      <c r="JV162" s="32">
        <f t="shared" si="18"/>
        <v>0</v>
      </c>
      <c r="JW162" s="32">
        <f t="shared" si="18"/>
        <v>0</v>
      </c>
      <c r="JX162" s="32">
        <f t="shared" si="18"/>
        <v>0</v>
      </c>
      <c r="JY162" s="32">
        <f t="shared" si="18"/>
        <v>0</v>
      </c>
      <c r="JZ162" s="32">
        <f t="shared" si="18"/>
        <v>0</v>
      </c>
      <c r="KA162" s="32">
        <f t="shared" si="18"/>
        <v>0</v>
      </c>
      <c r="KB162" s="32">
        <f t="shared" si="18"/>
        <v>0</v>
      </c>
      <c r="KC162" s="32">
        <f t="shared" si="18"/>
        <v>0</v>
      </c>
      <c r="KD162" s="32">
        <f t="shared" si="18"/>
        <v>0</v>
      </c>
      <c r="KE162" s="32">
        <f t="shared" si="18"/>
        <v>0</v>
      </c>
      <c r="KF162" s="32">
        <f t="shared" si="18"/>
        <v>0</v>
      </c>
      <c r="KG162" s="32">
        <f t="shared" si="18"/>
        <v>0</v>
      </c>
      <c r="KH162" s="32">
        <f t="shared" si="18"/>
        <v>0</v>
      </c>
      <c r="KI162" s="32">
        <f t="shared" si="18"/>
        <v>0</v>
      </c>
      <c r="KJ162" s="32">
        <f t="shared" si="18"/>
        <v>0</v>
      </c>
      <c r="KK162" s="32">
        <f t="shared" si="18"/>
        <v>0</v>
      </c>
      <c r="KL162" s="32">
        <f t="shared" si="18"/>
        <v>0</v>
      </c>
      <c r="KM162" s="32">
        <f t="shared" si="18"/>
        <v>0</v>
      </c>
      <c r="KN162" s="32">
        <f t="shared" si="18"/>
        <v>0</v>
      </c>
      <c r="KO162" s="32">
        <f t="shared" si="18"/>
        <v>0</v>
      </c>
      <c r="KP162" s="32">
        <f t="shared" si="18"/>
        <v>0</v>
      </c>
      <c r="KQ162" s="32">
        <f t="shared" si="18"/>
        <v>0</v>
      </c>
      <c r="KR162" s="32">
        <f t="shared" si="18"/>
        <v>0</v>
      </c>
      <c r="KS162" s="32">
        <f t="shared" si="18"/>
        <v>0</v>
      </c>
      <c r="KT162" s="32">
        <f t="shared" si="18"/>
        <v>0</v>
      </c>
      <c r="KU162" s="32">
        <f t="shared" si="18"/>
        <v>0</v>
      </c>
      <c r="KV162" s="32">
        <f t="shared" si="18"/>
        <v>0</v>
      </c>
      <c r="KW162" s="32">
        <f t="shared" si="18"/>
        <v>0</v>
      </c>
      <c r="KX162" s="32">
        <f t="shared" si="18"/>
        <v>0</v>
      </c>
      <c r="KY162" s="32">
        <f t="shared" si="18"/>
        <v>0</v>
      </c>
      <c r="KZ162" s="32">
        <f t="shared" si="18"/>
        <v>0</v>
      </c>
      <c r="LA162" s="32">
        <f t="shared" si="18"/>
        <v>0</v>
      </c>
      <c r="LB162" s="32">
        <f t="shared" si="18"/>
        <v>0</v>
      </c>
      <c r="LC162" s="32">
        <f t="shared" si="18"/>
        <v>0</v>
      </c>
      <c r="LD162" s="32">
        <f t="shared" si="18"/>
        <v>0</v>
      </c>
      <c r="LE162" s="32">
        <f t="shared" si="18"/>
        <v>0</v>
      </c>
      <c r="LF162" s="23"/>
      <c r="LG162" s="32">
        <f t="shared" ref="LG162:MR162" si="19">IFERROR(LG161/30,0)</f>
        <v>0</v>
      </c>
      <c r="LH162" s="32">
        <f t="shared" si="19"/>
        <v>0</v>
      </c>
      <c r="LI162" s="32">
        <f t="shared" si="19"/>
        <v>0</v>
      </c>
      <c r="LJ162" s="32">
        <f t="shared" si="19"/>
        <v>0</v>
      </c>
      <c r="LK162" s="32">
        <f t="shared" si="19"/>
        <v>0</v>
      </c>
      <c r="LL162" s="32">
        <f t="shared" si="19"/>
        <v>0</v>
      </c>
      <c r="LM162" s="32">
        <f t="shared" si="19"/>
        <v>0</v>
      </c>
      <c r="LN162" s="32">
        <f t="shared" si="19"/>
        <v>0</v>
      </c>
      <c r="LO162" s="32">
        <f t="shared" si="19"/>
        <v>0</v>
      </c>
      <c r="LP162" s="32">
        <f t="shared" si="19"/>
        <v>0</v>
      </c>
      <c r="LQ162" s="32">
        <f t="shared" si="19"/>
        <v>0</v>
      </c>
      <c r="LR162" s="32">
        <f t="shared" si="19"/>
        <v>0</v>
      </c>
      <c r="LS162" s="32">
        <f t="shared" si="19"/>
        <v>0</v>
      </c>
      <c r="LT162" s="32">
        <f t="shared" si="19"/>
        <v>0</v>
      </c>
      <c r="LU162" s="32">
        <f t="shared" si="19"/>
        <v>0</v>
      </c>
      <c r="LV162" s="32">
        <f t="shared" si="19"/>
        <v>0</v>
      </c>
      <c r="LW162" s="32">
        <f t="shared" si="19"/>
        <v>0</v>
      </c>
      <c r="LX162" s="32">
        <f t="shared" si="19"/>
        <v>0</v>
      </c>
      <c r="LY162" s="32">
        <f t="shared" si="19"/>
        <v>0</v>
      </c>
      <c r="LZ162" s="32">
        <f t="shared" si="19"/>
        <v>0</v>
      </c>
      <c r="MA162" s="32">
        <f t="shared" si="19"/>
        <v>0</v>
      </c>
      <c r="MB162" s="32">
        <f t="shared" si="19"/>
        <v>0</v>
      </c>
      <c r="MC162" s="32">
        <f t="shared" si="19"/>
        <v>0</v>
      </c>
      <c r="MD162" s="32">
        <f t="shared" si="19"/>
        <v>0</v>
      </c>
      <c r="ME162" s="32">
        <f t="shared" si="19"/>
        <v>0</v>
      </c>
      <c r="MF162" s="32">
        <f t="shared" si="19"/>
        <v>0</v>
      </c>
      <c r="MG162" s="32">
        <f t="shared" si="19"/>
        <v>0</v>
      </c>
      <c r="MH162" s="32">
        <f t="shared" si="19"/>
        <v>0</v>
      </c>
      <c r="MI162" s="32">
        <f t="shared" si="19"/>
        <v>0</v>
      </c>
      <c r="MJ162" s="32">
        <f t="shared" si="19"/>
        <v>0</v>
      </c>
      <c r="MK162" s="32">
        <f t="shared" si="19"/>
        <v>0</v>
      </c>
      <c r="ML162" s="32">
        <f t="shared" si="19"/>
        <v>0</v>
      </c>
      <c r="MM162" s="32">
        <f t="shared" si="19"/>
        <v>0</v>
      </c>
      <c r="MN162" s="32">
        <f t="shared" si="19"/>
        <v>0</v>
      </c>
      <c r="MO162" s="32">
        <f t="shared" si="19"/>
        <v>0</v>
      </c>
      <c r="MP162" s="32">
        <f t="shared" si="19"/>
        <v>0</v>
      </c>
      <c r="MQ162" s="32">
        <f t="shared" si="19"/>
        <v>0</v>
      </c>
      <c r="MR162" s="32">
        <f t="shared" si="19"/>
        <v>0</v>
      </c>
      <c r="MS162" s="23"/>
      <c r="MT162" s="32">
        <f t="shared" ref="MT162:OE162" si="20">IFERROR(MT161/120,0)</f>
        <v>0</v>
      </c>
      <c r="MU162" s="32">
        <f t="shared" si="20"/>
        <v>0</v>
      </c>
      <c r="MV162" s="32">
        <f t="shared" si="20"/>
        <v>0</v>
      </c>
      <c r="MW162" s="32">
        <f t="shared" si="20"/>
        <v>0</v>
      </c>
      <c r="MX162" s="32">
        <f t="shared" si="20"/>
        <v>0</v>
      </c>
      <c r="MY162" s="32">
        <f t="shared" si="20"/>
        <v>0</v>
      </c>
      <c r="MZ162" s="32">
        <f t="shared" si="20"/>
        <v>0</v>
      </c>
      <c r="NA162" s="32">
        <f t="shared" si="20"/>
        <v>0</v>
      </c>
      <c r="NB162" s="32">
        <f t="shared" si="20"/>
        <v>0</v>
      </c>
      <c r="NC162" s="32">
        <f t="shared" si="20"/>
        <v>0</v>
      </c>
      <c r="ND162" s="32">
        <f t="shared" si="20"/>
        <v>0</v>
      </c>
      <c r="NE162" s="32">
        <f t="shared" si="20"/>
        <v>0</v>
      </c>
      <c r="NF162" s="32">
        <f t="shared" si="20"/>
        <v>0</v>
      </c>
      <c r="NG162" s="32">
        <f t="shared" si="20"/>
        <v>0</v>
      </c>
      <c r="NH162" s="32">
        <f t="shared" si="20"/>
        <v>0</v>
      </c>
      <c r="NI162" s="32">
        <f t="shared" si="20"/>
        <v>0</v>
      </c>
      <c r="NJ162" s="32">
        <f t="shared" si="20"/>
        <v>0</v>
      </c>
      <c r="NK162" s="32">
        <f t="shared" si="20"/>
        <v>0</v>
      </c>
      <c r="NL162" s="32">
        <f t="shared" si="20"/>
        <v>0</v>
      </c>
      <c r="NM162" s="32">
        <f t="shared" si="20"/>
        <v>0</v>
      </c>
      <c r="NN162" s="32">
        <f t="shared" si="20"/>
        <v>0</v>
      </c>
      <c r="NO162" s="32">
        <f t="shared" si="20"/>
        <v>0</v>
      </c>
      <c r="NP162" s="32">
        <f t="shared" si="20"/>
        <v>0</v>
      </c>
      <c r="NQ162" s="32">
        <f t="shared" si="20"/>
        <v>0</v>
      </c>
      <c r="NR162" s="32">
        <f t="shared" si="20"/>
        <v>0</v>
      </c>
      <c r="NS162" s="32">
        <f t="shared" si="20"/>
        <v>0</v>
      </c>
      <c r="NT162" s="32">
        <f t="shared" si="20"/>
        <v>0</v>
      </c>
      <c r="NU162" s="32">
        <f t="shared" si="20"/>
        <v>0</v>
      </c>
      <c r="NV162" s="32">
        <f t="shared" si="20"/>
        <v>0</v>
      </c>
      <c r="NW162" s="32">
        <f t="shared" si="20"/>
        <v>0</v>
      </c>
      <c r="NX162" s="32">
        <f t="shared" si="20"/>
        <v>0</v>
      </c>
      <c r="NY162" s="32">
        <f t="shared" si="20"/>
        <v>0</v>
      </c>
      <c r="NZ162" s="32">
        <f t="shared" si="20"/>
        <v>0</v>
      </c>
      <c r="OA162" s="32">
        <f t="shared" si="20"/>
        <v>0</v>
      </c>
      <c r="OB162" s="32">
        <f t="shared" si="20"/>
        <v>0</v>
      </c>
      <c r="OC162" s="32">
        <f t="shared" si="20"/>
        <v>0</v>
      </c>
      <c r="OD162" s="32">
        <f t="shared" si="20"/>
        <v>0</v>
      </c>
      <c r="OE162" s="32">
        <f t="shared" si="20"/>
        <v>0</v>
      </c>
      <c r="OF162" s="23"/>
      <c r="OG162" s="32">
        <f t="shared" ref="OG162:PR162" si="21">IFERROR(OG161/120,0)</f>
        <v>0</v>
      </c>
      <c r="OH162" s="32">
        <f t="shared" si="21"/>
        <v>0</v>
      </c>
      <c r="OI162" s="32">
        <f t="shared" si="21"/>
        <v>0</v>
      </c>
      <c r="OJ162" s="32">
        <f t="shared" si="21"/>
        <v>0</v>
      </c>
      <c r="OK162" s="32">
        <f t="shared" si="21"/>
        <v>0</v>
      </c>
      <c r="OL162" s="32">
        <f t="shared" si="21"/>
        <v>0</v>
      </c>
      <c r="OM162" s="32">
        <f t="shared" si="21"/>
        <v>0</v>
      </c>
      <c r="ON162" s="32">
        <f t="shared" si="21"/>
        <v>0</v>
      </c>
      <c r="OO162" s="32">
        <f t="shared" si="21"/>
        <v>0</v>
      </c>
      <c r="OP162" s="32">
        <f t="shared" si="21"/>
        <v>0</v>
      </c>
      <c r="OQ162" s="32">
        <f t="shared" si="21"/>
        <v>0</v>
      </c>
      <c r="OR162" s="32">
        <f t="shared" si="21"/>
        <v>0</v>
      </c>
      <c r="OS162" s="32">
        <f t="shared" si="21"/>
        <v>0</v>
      </c>
      <c r="OT162" s="32">
        <f t="shared" si="21"/>
        <v>0</v>
      </c>
      <c r="OU162" s="32">
        <f t="shared" si="21"/>
        <v>0</v>
      </c>
      <c r="OV162" s="32">
        <f t="shared" si="21"/>
        <v>0</v>
      </c>
      <c r="OW162" s="32">
        <f t="shared" si="21"/>
        <v>0</v>
      </c>
      <c r="OX162" s="32">
        <f t="shared" si="21"/>
        <v>0</v>
      </c>
      <c r="OY162" s="32">
        <f t="shared" si="21"/>
        <v>0</v>
      </c>
      <c r="OZ162" s="32">
        <f t="shared" si="21"/>
        <v>0</v>
      </c>
      <c r="PA162" s="32">
        <f t="shared" si="21"/>
        <v>0</v>
      </c>
      <c r="PB162" s="32">
        <f t="shared" si="21"/>
        <v>0</v>
      </c>
      <c r="PC162" s="32">
        <f t="shared" si="21"/>
        <v>0</v>
      </c>
      <c r="PD162" s="32">
        <f t="shared" si="21"/>
        <v>0</v>
      </c>
      <c r="PE162" s="32">
        <f t="shared" si="21"/>
        <v>0</v>
      </c>
      <c r="PF162" s="32">
        <f t="shared" si="21"/>
        <v>0</v>
      </c>
      <c r="PG162" s="32">
        <f t="shared" si="21"/>
        <v>0</v>
      </c>
      <c r="PH162" s="32">
        <f t="shared" si="21"/>
        <v>0</v>
      </c>
      <c r="PI162" s="32">
        <f t="shared" si="21"/>
        <v>0</v>
      </c>
      <c r="PJ162" s="32">
        <f t="shared" si="21"/>
        <v>0</v>
      </c>
      <c r="PK162" s="32">
        <f t="shared" si="21"/>
        <v>0</v>
      </c>
      <c r="PL162" s="32">
        <f t="shared" si="21"/>
        <v>0</v>
      </c>
      <c r="PM162" s="32">
        <f t="shared" si="21"/>
        <v>0</v>
      </c>
      <c r="PN162" s="32">
        <f t="shared" si="21"/>
        <v>0</v>
      </c>
      <c r="PO162" s="32">
        <f t="shared" si="21"/>
        <v>0</v>
      </c>
      <c r="PP162" s="32">
        <f t="shared" si="21"/>
        <v>0</v>
      </c>
      <c r="PQ162" s="32">
        <f t="shared" si="21"/>
        <v>0</v>
      </c>
      <c r="PR162" s="32">
        <f t="shared" si="21"/>
        <v>0</v>
      </c>
    </row>
    <row r="164" spans="1:434" x14ac:dyDescent="0.25">
      <c r="B164" s="31" t="s">
        <v>228</v>
      </c>
      <c r="F164" s="23"/>
      <c r="G164" s="90">
        <f>SUM(G162:AR162)</f>
        <v>0</v>
      </c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9"/>
      <c r="AS164" s="23"/>
      <c r="AT164" s="90">
        <f>SUM(AT162:CE162)</f>
        <v>0</v>
      </c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9"/>
      <c r="CF164" s="23"/>
      <c r="CG164" s="90">
        <f>SUM(CG162:DR162)</f>
        <v>0</v>
      </c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9"/>
      <c r="DS164" s="23"/>
      <c r="DT164" s="90">
        <f>SUM(DT162:FE162)</f>
        <v>0</v>
      </c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9"/>
      <c r="FF164" s="23"/>
      <c r="FG164" s="90">
        <f>SUM(FG162:GR162)</f>
        <v>0</v>
      </c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  <c r="FU164" s="88"/>
      <c r="FV164" s="88"/>
      <c r="FW164" s="88"/>
      <c r="FX164" s="88"/>
      <c r="FY164" s="88"/>
      <c r="FZ164" s="88"/>
      <c r="GA164" s="88"/>
      <c r="GB164" s="88"/>
      <c r="GC164" s="88"/>
      <c r="GD164" s="88"/>
      <c r="GE164" s="88"/>
      <c r="GF164" s="88"/>
      <c r="GG164" s="88"/>
      <c r="GH164" s="88"/>
      <c r="GI164" s="88"/>
      <c r="GJ164" s="88"/>
      <c r="GK164" s="88"/>
      <c r="GL164" s="88"/>
      <c r="GM164" s="88"/>
      <c r="GN164" s="88"/>
      <c r="GO164" s="88"/>
      <c r="GP164" s="88"/>
      <c r="GQ164" s="88"/>
      <c r="GR164" s="89"/>
      <c r="GS164" s="23"/>
      <c r="GT164" s="90">
        <f>SUM(GT162:IE162)</f>
        <v>0</v>
      </c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88"/>
      <c r="HK164" s="88"/>
      <c r="HL164" s="88"/>
      <c r="HM164" s="88"/>
      <c r="HN164" s="88"/>
      <c r="HO164" s="88"/>
      <c r="HP164" s="88"/>
      <c r="HQ164" s="88"/>
      <c r="HR164" s="88"/>
      <c r="HS164" s="88"/>
      <c r="HT164" s="88"/>
      <c r="HU164" s="88"/>
      <c r="HV164" s="88"/>
      <c r="HW164" s="88"/>
      <c r="HX164" s="88"/>
      <c r="HY164" s="88"/>
      <c r="HZ164" s="88"/>
      <c r="IA164" s="88"/>
      <c r="IB164" s="88"/>
      <c r="IC164" s="88"/>
      <c r="ID164" s="88"/>
      <c r="IE164" s="89"/>
      <c r="IF164" s="23"/>
      <c r="IG164" s="90">
        <f>SUM(IG162:JR162)</f>
        <v>0</v>
      </c>
      <c r="IH164" s="88"/>
      <c r="II164" s="88"/>
      <c r="IJ164" s="88"/>
      <c r="IK164" s="88"/>
      <c r="IL164" s="88"/>
      <c r="IM164" s="88"/>
      <c r="IN164" s="88"/>
      <c r="IO164" s="88"/>
      <c r="IP164" s="88"/>
      <c r="IQ164" s="88"/>
      <c r="IR164" s="88"/>
      <c r="IS164" s="88"/>
      <c r="IT164" s="88"/>
      <c r="IU164" s="8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9"/>
      <c r="JS164" s="23"/>
      <c r="JT164" s="90">
        <f>SUM(JT162:LE162)</f>
        <v>0</v>
      </c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9"/>
      <c r="LF164" s="23"/>
      <c r="LG164" s="90">
        <f>SUM(LG162:MR162)</f>
        <v>0</v>
      </c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9"/>
      <c r="MS164" s="23"/>
      <c r="MT164" s="90">
        <f>SUM(MT162:OE162)</f>
        <v>0</v>
      </c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9"/>
      <c r="OF164" s="23"/>
      <c r="OG164" s="90">
        <f>SUM(OG162:PR162)</f>
        <v>0</v>
      </c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9"/>
    </row>
    <row r="165" spans="1:434" ht="15" customHeight="1" thickBot="1" x14ac:dyDescent="0.3"/>
    <row r="166" spans="1:434" ht="15" customHeight="1" thickBot="1" x14ac:dyDescent="0.3">
      <c r="A166" s="98" t="s">
        <v>229</v>
      </c>
      <c r="B166" s="88"/>
      <c r="C166" s="88"/>
      <c r="D166" s="88"/>
      <c r="E166" s="88"/>
      <c r="F166" s="88"/>
      <c r="G166" s="88"/>
      <c r="H166" s="89"/>
    </row>
    <row r="167" spans="1:434" x14ac:dyDescent="0.25">
      <c r="A167" s="1" t="s">
        <v>230</v>
      </c>
      <c r="B167" s="2" t="s">
        <v>231</v>
      </c>
      <c r="C167" s="84" t="s">
        <v>232</v>
      </c>
      <c r="D167" s="85"/>
      <c r="E167" s="85"/>
      <c r="F167" s="85"/>
      <c r="G167" s="85"/>
      <c r="H167" s="86"/>
    </row>
    <row r="168" spans="1:434" x14ac:dyDescent="0.25">
      <c r="A168" s="4" t="s">
        <v>233</v>
      </c>
      <c r="B168" s="5" t="s">
        <v>234</v>
      </c>
      <c r="C168" s="84" t="s">
        <v>235</v>
      </c>
      <c r="D168" s="85"/>
      <c r="E168" s="85"/>
      <c r="F168" s="85"/>
      <c r="G168" s="85"/>
      <c r="H168" s="86"/>
    </row>
    <row r="169" spans="1:434" x14ac:dyDescent="0.25">
      <c r="A169" s="6" t="s">
        <v>236</v>
      </c>
      <c r="B169" s="7" t="s">
        <v>237</v>
      </c>
      <c r="C169" s="84" t="s">
        <v>238</v>
      </c>
      <c r="D169" s="85"/>
      <c r="E169" s="85"/>
      <c r="F169" s="85"/>
      <c r="G169" s="85"/>
      <c r="H169" s="86"/>
    </row>
    <row r="170" spans="1:434" x14ac:dyDescent="0.25">
      <c r="A170" s="8" t="s">
        <v>239</v>
      </c>
      <c r="B170" s="9" t="s">
        <v>240</v>
      </c>
      <c r="C170" s="84" t="s">
        <v>241</v>
      </c>
      <c r="D170" s="85"/>
      <c r="E170" s="85"/>
      <c r="F170" s="85"/>
      <c r="G170" s="85"/>
      <c r="H170" s="86"/>
    </row>
    <row r="171" spans="1:434" x14ac:dyDescent="0.25">
      <c r="A171" s="10" t="s">
        <v>242</v>
      </c>
      <c r="B171" s="11" t="s">
        <v>243</v>
      </c>
      <c r="C171" s="84" t="s">
        <v>244</v>
      </c>
      <c r="D171" s="85"/>
      <c r="E171" s="85"/>
      <c r="F171" s="85"/>
      <c r="G171" s="85"/>
      <c r="H171" s="86"/>
    </row>
    <row r="172" spans="1:434" x14ac:dyDescent="0.25">
      <c r="A172" s="12" t="s">
        <v>245</v>
      </c>
      <c r="B172" s="13" t="s">
        <v>246</v>
      </c>
      <c r="C172" s="84" t="s">
        <v>247</v>
      </c>
      <c r="D172" s="85"/>
      <c r="E172" s="85"/>
      <c r="F172" s="85"/>
      <c r="G172" s="85"/>
      <c r="H172" s="86"/>
    </row>
    <row r="173" spans="1:434" x14ac:dyDescent="0.25">
      <c r="A173" s="14" t="s">
        <v>248</v>
      </c>
      <c r="B173" s="15" t="s">
        <v>249</v>
      </c>
      <c r="C173" s="84" t="s">
        <v>250</v>
      </c>
      <c r="D173" s="85"/>
      <c r="E173" s="85"/>
      <c r="F173" s="85"/>
      <c r="G173" s="85"/>
      <c r="H173" s="86"/>
    </row>
    <row r="174" spans="1:434" x14ac:dyDescent="0.25">
      <c r="A174" s="16" t="s">
        <v>251</v>
      </c>
      <c r="B174" s="17" t="s">
        <v>252</v>
      </c>
      <c r="C174" s="84" t="s">
        <v>253</v>
      </c>
      <c r="D174" s="85"/>
      <c r="E174" s="85"/>
      <c r="F174" s="85"/>
      <c r="G174" s="85"/>
      <c r="H174" s="86"/>
    </row>
    <row r="175" spans="1:434" x14ac:dyDescent="0.25">
      <c r="A175" s="18" t="s">
        <v>254</v>
      </c>
      <c r="B175" s="19" t="s">
        <v>255</v>
      </c>
      <c r="C175" s="84" t="s">
        <v>256</v>
      </c>
      <c r="D175" s="85"/>
      <c r="E175" s="85"/>
      <c r="F175" s="85"/>
      <c r="G175" s="85"/>
      <c r="H175" s="86"/>
    </row>
  </sheetData>
  <mergeCells count="51">
    <mergeCell ref="A17:PR17"/>
    <mergeCell ref="CG164:DR164"/>
    <mergeCell ref="GT3:IE3"/>
    <mergeCell ref="AT3:CE3"/>
    <mergeCell ref="LG164:MR164"/>
    <mergeCell ref="MT164:OE164"/>
    <mergeCell ref="MS2:PR2"/>
    <mergeCell ref="A115:PR115"/>
    <mergeCell ref="IG164:JR164"/>
    <mergeCell ref="C169:H169"/>
    <mergeCell ref="A143:PR143"/>
    <mergeCell ref="F2:AR2"/>
    <mergeCell ref="DT164:FE164"/>
    <mergeCell ref="AS2:CE2"/>
    <mergeCell ref="IG3:JR3"/>
    <mergeCell ref="A76:PR76"/>
    <mergeCell ref="A47:PR47"/>
    <mergeCell ref="A5:PR5"/>
    <mergeCell ref="C168:H168"/>
    <mergeCell ref="MT3:OE3"/>
    <mergeCell ref="A166:H166"/>
    <mergeCell ref="A2:E3"/>
    <mergeCell ref="CF2:GR2"/>
    <mergeCell ref="CG3:DR3"/>
    <mergeCell ref="C170:H170"/>
    <mergeCell ref="DT3:FE3"/>
    <mergeCell ref="FG3:GR3"/>
    <mergeCell ref="G3:AR3"/>
    <mergeCell ref="A108:PR108"/>
    <mergeCell ref="A66:PR66"/>
    <mergeCell ref="JT3:LE3"/>
    <mergeCell ref="A57:PR57"/>
    <mergeCell ref="LG3:MR3"/>
    <mergeCell ref="A97:PR97"/>
    <mergeCell ref="GS2:MR2"/>
    <mergeCell ref="OG3:PR3"/>
    <mergeCell ref="G164:AR164"/>
    <mergeCell ref="C167:H167"/>
    <mergeCell ref="C175:H175"/>
    <mergeCell ref="A84:PR84"/>
    <mergeCell ref="JT164:LE164"/>
    <mergeCell ref="OG164:PR164"/>
    <mergeCell ref="C172:H172"/>
    <mergeCell ref="AT164:CE164"/>
    <mergeCell ref="FG164:GR164"/>
    <mergeCell ref="C174:H174"/>
    <mergeCell ref="GT164:IE164"/>
    <mergeCell ref="C173:H173"/>
    <mergeCell ref="C171:H171"/>
    <mergeCell ref="A152:PR152"/>
    <mergeCell ref="A135:PR135"/>
  </mergeCells>
  <conditionalFormatting sqref="D5:D159">
    <cfRule type="cellIs" dxfId="26" priority="1" operator="equal">
      <formula>"T0: Ideation"</formula>
    </cfRule>
    <cfRule type="cellIs" dxfId="25" priority="2" operator="equal">
      <formula>"T1: R&amp;D"</formula>
    </cfRule>
    <cfRule type="cellIs" dxfId="24" priority="3" operator="equal">
      <formula>"T2: GDD/TDD/Brief"</formula>
    </cfRule>
    <cfRule type="cellIs" dxfId="23" priority="4" operator="equal">
      <formula>"T3: Prototype"</formula>
    </cfRule>
    <cfRule type="cellIs" dxfId="22" priority="5" operator="equal">
      <formula>"T4: MVP"</formula>
    </cfRule>
    <cfRule type="cellIs" dxfId="21" priority="6" operator="equal">
      <formula>"T5: Feature Complete"</formula>
    </cfRule>
    <cfRule type="cellIs" dxfId="20" priority="7" operator="equal">
      <formula>"T6: Player Tested"</formula>
    </cfRule>
    <cfRule type="cellIs" dxfId="19" priority="8" operator="equal">
      <formula>"T7: Expand"</formula>
    </cfRule>
    <cfRule type="cellIs" dxfId="18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D5:D159" xr:uid="{00000000-0002-0000-0000-000000000000}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2BBA-8D5D-4634-A489-CB0F1163C15E}">
  <dimension ref="A1:PT178"/>
  <sheetViews>
    <sheetView tabSelected="1" workbookViewId="0">
      <selection activeCell="CL10" sqref="CL10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18.42578125" bestFit="1" customWidth="1"/>
    <col min="4" max="4" width="33.140625" bestFit="1" customWidth="1"/>
    <col min="5" max="5" width="6" customWidth="1"/>
    <col min="6" max="6" width="15.7109375" bestFit="1" customWidth="1"/>
    <col min="7" max="7" width="28" customWidth="1"/>
    <col min="8" max="8" width="5" hidden="1" customWidth="1"/>
    <col min="9" max="46" width="3.140625" hidden="1" customWidth="1"/>
    <col min="47" max="47" width="5" hidden="1" customWidth="1"/>
    <col min="48" max="85" width="3.140625" hidden="1" customWidth="1"/>
    <col min="86" max="86" width="5" customWidth="1"/>
    <col min="87" max="124" width="4" bestFit="1" customWidth="1"/>
    <col min="125" max="125" width="5.140625" bestFit="1" customWidth="1"/>
    <col min="126" max="140" width="3.85546875" bestFit="1" customWidth="1"/>
    <col min="141" max="163" width="3.140625" customWidth="1"/>
    <col min="164" max="164" width="5" customWidth="1"/>
    <col min="165" max="202" width="3.140625" customWidth="1"/>
    <col min="203" max="203" width="5" customWidth="1"/>
    <col min="204" max="241" width="3.140625" customWidth="1"/>
    <col min="242" max="242" width="5" customWidth="1"/>
    <col min="243" max="280" width="3.140625" customWidth="1"/>
    <col min="281" max="281" width="5" customWidth="1"/>
    <col min="282" max="319" width="3.140625" customWidth="1"/>
    <col min="320" max="320" width="5" customWidth="1"/>
    <col min="321" max="358" width="3.140625" customWidth="1"/>
    <col min="359" max="359" width="5" customWidth="1"/>
    <col min="360" max="397" width="3.140625" customWidth="1"/>
    <col min="398" max="398" width="5" customWidth="1"/>
    <col min="399" max="436" width="3.140625" customWidth="1"/>
  </cols>
  <sheetData>
    <row r="1" spans="1:436" ht="6" customHeight="1" thickBot="1" x14ac:dyDescent="0.3"/>
    <row r="2" spans="1:436" ht="21.95" customHeight="1" thickBot="1" x14ac:dyDescent="0.3">
      <c r="A2" s="98" t="s">
        <v>0</v>
      </c>
      <c r="B2" s="99"/>
      <c r="C2" s="99"/>
      <c r="D2" s="99"/>
      <c r="E2" s="99"/>
      <c r="F2" s="99"/>
      <c r="G2" s="100"/>
      <c r="H2" s="96" t="s">
        <v>1</v>
      </c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9"/>
      <c r="AU2" s="97" t="s">
        <v>2</v>
      </c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9"/>
      <c r="CH2" s="91" t="s">
        <v>3</v>
      </c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9"/>
      <c r="GU2" s="94" t="s">
        <v>4</v>
      </c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8"/>
      <c r="MS2" s="88"/>
      <c r="MT2" s="89"/>
      <c r="MU2" s="95" t="s">
        <v>5</v>
      </c>
      <c r="MV2" s="88"/>
      <c r="MW2" s="88"/>
      <c r="MX2" s="88"/>
      <c r="MY2" s="88"/>
      <c r="MZ2" s="88"/>
      <c r="NA2" s="88"/>
      <c r="NB2" s="88"/>
      <c r="NC2" s="88"/>
      <c r="ND2" s="88"/>
      <c r="NE2" s="88"/>
      <c r="NF2" s="88"/>
      <c r="NG2" s="88"/>
      <c r="NH2" s="88"/>
      <c r="NI2" s="88"/>
      <c r="NJ2" s="88"/>
      <c r="NK2" s="88"/>
      <c r="NL2" s="88"/>
      <c r="NM2" s="88"/>
      <c r="NN2" s="88"/>
      <c r="NO2" s="88"/>
      <c r="NP2" s="88"/>
      <c r="NQ2" s="88"/>
      <c r="NR2" s="88"/>
      <c r="NS2" s="88"/>
      <c r="NT2" s="88"/>
      <c r="NU2" s="88"/>
      <c r="NV2" s="88"/>
      <c r="NW2" s="88"/>
      <c r="NX2" s="88"/>
      <c r="NY2" s="88"/>
      <c r="NZ2" s="88"/>
      <c r="OA2" s="88"/>
      <c r="OB2" s="88"/>
      <c r="OC2" s="88"/>
      <c r="OD2" s="88"/>
      <c r="OE2" s="88"/>
      <c r="OF2" s="88"/>
      <c r="OG2" s="88"/>
      <c r="OH2" s="88"/>
      <c r="OI2" s="88"/>
      <c r="OJ2" s="88"/>
      <c r="OK2" s="88"/>
      <c r="OL2" s="88"/>
      <c r="OM2" s="88"/>
      <c r="ON2" s="88"/>
      <c r="OO2" s="88"/>
      <c r="OP2" s="88"/>
      <c r="OQ2" s="88"/>
      <c r="OR2" s="88"/>
      <c r="OS2" s="88"/>
      <c r="OT2" s="88"/>
      <c r="OU2" s="88"/>
      <c r="OV2" s="88"/>
      <c r="OW2" s="88"/>
      <c r="OX2" s="88"/>
      <c r="OY2" s="88"/>
      <c r="OZ2" s="88"/>
      <c r="PA2" s="88"/>
      <c r="PB2" s="88"/>
      <c r="PC2" s="88"/>
      <c r="PD2" s="88"/>
      <c r="PE2" s="88"/>
      <c r="PF2" s="88"/>
      <c r="PG2" s="88"/>
      <c r="PH2" s="88"/>
      <c r="PI2" s="88"/>
      <c r="PJ2" s="88"/>
      <c r="PK2" s="88"/>
      <c r="PL2" s="88"/>
      <c r="PM2" s="88"/>
      <c r="PN2" s="88"/>
      <c r="PO2" s="88"/>
      <c r="PP2" s="88"/>
      <c r="PQ2" s="88"/>
      <c r="PR2" s="88"/>
      <c r="PS2" s="88"/>
      <c r="PT2" s="89"/>
    </row>
    <row r="3" spans="1:436" ht="26.45" customHeight="1" thickBot="1" x14ac:dyDescent="0.3">
      <c r="A3" s="101"/>
      <c r="B3" s="102"/>
      <c r="C3" s="102"/>
      <c r="D3" s="102"/>
      <c r="E3" s="102"/>
      <c r="F3" s="102"/>
      <c r="G3" s="103"/>
      <c r="H3" s="20" t="s">
        <v>6</v>
      </c>
      <c r="I3" s="92" t="s">
        <v>7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9"/>
      <c r="AU3" s="20" t="s">
        <v>8</v>
      </c>
      <c r="AV3" s="92" t="s">
        <v>350</v>
      </c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9"/>
      <c r="CH3" s="20" t="s">
        <v>9</v>
      </c>
      <c r="CI3" s="92" t="s">
        <v>349</v>
      </c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9"/>
      <c r="DU3" s="20" t="s">
        <v>10</v>
      </c>
      <c r="DV3" s="93" t="s">
        <v>351</v>
      </c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9"/>
      <c r="FH3" s="20" t="s">
        <v>11</v>
      </c>
      <c r="FI3" s="93" t="s">
        <v>352</v>
      </c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9"/>
      <c r="GU3" s="20" t="s">
        <v>12</v>
      </c>
      <c r="GV3" s="93" t="s">
        <v>353</v>
      </c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9"/>
      <c r="IH3" s="20" t="s">
        <v>13</v>
      </c>
      <c r="II3" s="93" t="s">
        <v>354</v>
      </c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  <c r="IW3" s="88"/>
      <c r="IX3" s="88"/>
      <c r="IY3" s="88"/>
      <c r="IZ3" s="88"/>
      <c r="JA3" s="88"/>
      <c r="JB3" s="88"/>
      <c r="JC3" s="88"/>
      <c r="JD3" s="88"/>
      <c r="JE3" s="88"/>
      <c r="JF3" s="88"/>
      <c r="JG3" s="88"/>
      <c r="JH3" s="88"/>
      <c r="JI3" s="88"/>
      <c r="JJ3" s="88"/>
      <c r="JK3" s="88"/>
      <c r="JL3" s="88"/>
      <c r="JM3" s="88"/>
      <c r="JN3" s="88"/>
      <c r="JO3" s="88"/>
      <c r="JP3" s="88"/>
      <c r="JQ3" s="88"/>
      <c r="JR3" s="88"/>
      <c r="JS3" s="88"/>
      <c r="JT3" s="89"/>
      <c r="JU3" s="20" t="s">
        <v>14</v>
      </c>
      <c r="JV3" s="93" t="s">
        <v>355</v>
      </c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88"/>
      <c r="KQ3" s="88"/>
      <c r="KR3" s="88"/>
      <c r="KS3" s="88"/>
      <c r="KT3" s="88"/>
      <c r="KU3" s="88"/>
      <c r="KV3" s="88"/>
      <c r="KW3" s="88"/>
      <c r="KX3" s="88"/>
      <c r="KY3" s="88"/>
      <c r="KZ3" s="88"/>
      <c r="LA3" s="88"/>
      <c r="LB3" s="88"/>
      <c r="LC3" s="88"/>
      <c r="LD3" s="88"/>
      <c r="LE3" s="88"/>
      <c r="LF3" s="88"/>
      <c r="LG3" s="89"/>
      <c r="LH3" s="20" t="s">
        <v>15</v>
      </c>
      <c r="LI3" s="92" t="s">
        <v>16</v>
      </c>
      <c r="LJ3" s="88"/>
      <c r="LK3" s="88"/>
      <c r="LL3" s="88"/>
      <c r="LM3" s="88"/>
      <c r="LN3" s="88"/>
      <c r="LO3" s="88"/>
      <c r="LP3" s="88"/>
      <c r="LQ3" s="88"/>
      <c r="LR3" s="88"/>
      <c r="LS3" s="88"/>
      <c r="LT3" s="88"/>
      <c r="LU3" s="88"/>
      <c r="LV3" s="88"/>
      <c r="LW3" s="88"/>
      <c r="LX3" s="88"/>
      <c r="LY3" s="88"/>
      <c r="LZ3" s="88"/>
      <c r="MA3" s="88"/>
      <c r="MB3" s="88"/>
      <c r="MC3" s="88"/>
      <c r="MD3" s="88"/>
      <c r="ME3" s="88"/>
      <c r="MF3" s="88"/>
      <c r="MG3" s="88"/>
      <c r="MH3" s="88"/>
      <c r="MI3" s="88"/>
      <c r="MJ3" s="88"/>
      <c r="MK3" s="88"/>
      <c r="ML3" s="88"/>
      <c r="MM3" s="88"/>
      <c r="MN3" s="88"/>
      <c r="MO3" s="88"/>
      <c r="MP3" s="88"/>
      <c r="MQ3" s="88"/>
      <c r="MR3" s="88"/>
      <c r="MS3" s="88"/>
      <c r="MT3" s="89"/>
      <c r="MU3" s="20" t="s">
        <v>17</v>
      </c>
      <c r="MV3" s="92" t="s">
        <v>18</v>
      </c>
      <c r="MW3" s="88"/>
      <c r="MX3" s="88"/>
      <c r="MY3" s="88"/>
      <c r="MZ3" s="88"/>
      <c r="NA3" s="88"/>
      <c r="NB3" s="88"/>
      <c r="NC3" s="88"/>
      <c r="ND3" s="88"/>
      <c r="NE3" s="88"/>
      <c r="NF3" s="88"/>
      <c r="NG3" s="88"/>
      <c r="NH3" s="88"/>
      <c r="NI3" s="88"/>
      <c r="NJ3" s="88"/>
      <c r="NK3" s="88"/>
      <c r="NL3" s="88"/>
      <c r="NM3" s="88"/>
      <c r="NN3" s="88"/>
      <c r="NO3" s="88"/>
      <c r="NP3" s="88"/>
      <c r="NQ3" s="88"/>
      <c r="NR3" s="88"/>
      <c r="NS3" s="88"/>
      <c r="NT3" s="88"/>
      <c r="NU3" s="88"/>
      <c r="NV3" s="88"/>
      <c r="NW3" s="88"/>
      <c r="NX3" s="88"/>
      <c r="NY3" s="88"/>
      <c r="NZ3" s="88"/>
      <c r="OA3" s="88"/>
      <c r="OB3" s="88"/>
      <c r="OC3" s="88"/>
      <c r="OD3" s="88"/>
      <c r="OE3" s="88"/>
      <c r="OF3" s="88"/>
      <c r="OG3" s="89"/>
      <c r="OH3" s="20" t="s">
        <v>19</v>
      </c>
      <c r="OI3" s="92" t="s">
        <v>20</v>
      </c>
      <c r="OJ3" s="88"/>
      <c r="OK3" s="88"/>
      <c r="OL3" s="88"/>
      <c r="OM3" s="88"/>
      <c r="ON3" s="88"/>
      <c r="OO3" s="88"/>
      <c r="OP3" s="88"/>
      <c r="OQ3" s="88"/>
      <c r="OR3" s="88"/>
      <c r="OS3" s="88"/>
      <c r="OT3" s="88"/>
      <c r="OU3" s="88"/>
      <c r="OV3" s="88"/>
      <c r="OW3" s="88"/>
      <c r="OX3" s="88"/>
      <c r="OY3" s="88"/>
      <c r="OZ3" s="88"/>
      <c r="PA3" s="88"/>
      <c r="PB3" s="88"/>
      <c r="PC3" s="88"/>
      <c r="PD3" s="88"/>
      <c r="PE3" s="88"/>
      <c r="PF3" s="88"/>
      <c r="PG3" s="88"/>
      <c r="PH3" s="88"/>
      <c r="PI3" s="88"/>
      <c r="PJ3" s="88"/>
      <c r="PK3" s="88"/>
      <c r="PL3" s="88"/>
      <c r="PM3" s="88"/>
      <c r="PN3" s="88"/>
      <c r="PO3" s="88"/>
      <c r="PP3" s="88"/>
      <c r="PQ3" s="88"/>
      <c r="PR3" s="88"/>
      <c r="PS3" s="88"/>
      <c r="PT3" s="89"/>
    </row>
    <row r="4" spans="1:436" ht="85.5" thickBot="1" x14ac:dyDescent="0.3">
      <c r="A4" s="22" t="s">
        <v>21</v>
      </c>
      <c r="B4" s="22" t="s">
        <v>22</v>
      </c>
      <c r="C4" s="22" t="s">
        <v>357</v>
      </c>
      <c r="D4" s="22" t="s">
        <v>359</v>
      </c>
      <c r="E4" s="22" t="s">
        <v>23</v>
      </c>
      <c r="F4" s="22" t="s">
        <v>24</v>
      </c>
      <c r="G4" s="22" t="s">
        <v>25</v>
      </c>
      <c r="H4" s="23"/>
      <c r="I4" s="74" t="s">
        <v>26</v>
      </c>
      <c r="J4" s="74" t="s">
        <v>27</v>
      </c>
      <c r="K4" s="74" t="s">
        <v>28</v>
      </c>
      <c r="L4" s="74" t="s">
        <v>29</v>
      </c>
      <c r="M4" s="74" t="s">
        <v>30</v>
      </c>
      <c r="N4" s="75" t="s">
        <v>31</v>
      </c>
      <c r="O4" s="75" t="s">
        <v>32</v>
      </c>
      <c r="P4" s="75" t="s">
        <v>33</v>
      </c>
      <c r="Q4" s="75" t="s">
        <v>34</v>
      </c>
      <c r="R4" s="75" t="s">
        <v>35</v>
      </c>
      <c r="S4" s="76" t="s">
        <v>36</v>
      </c>
      <c r="T4" s="76" t="s">
        <v>37</v>
      </c>
      <c r="U4" s="76" t="s">
        <v>38</v>
      </c>
      <c r="V4" s="76" t="s">
        <v>39</v>
      </c>
      <c r="W4" s="76" t="s">
        <v>40</v>
      </c>
      <c r="X4" s="76" t="s">
        <v>41</v>
      </c>
      <c r="Y4" s="76" t="s">
        <v>42</v>
      </c>
      <c r="Z4" s="76" t="s">
        <v>43</v>
      </c>
      <c r="AA4" s="77" t="s">
        <v>44</v>
      </c>
      <c r="AB4" s="77" t="s">
        <v>45</v>
      </c>
      <c r="AC4" s="77" t="s">
        <v>46</v>
      </c>
      <c r="AD4" s="77" t="s">
        <v>47</v>
      </c>
      <c r="AE4" s="77" t="s">
        <v>48</v>
      </c>
      <c r="AF4" s="77" t="s">
        <v>49</v>
      </c>
      <c r="AG4" s="77" t="s">
        <v>50</v>
      </c>
      <c r="AH4" s="77" t="s">
        <v>51</v>
      </c>
      <c r="AI4" s="77" t="s">
        <v>52</v>
      </c>
      <c r="AJ4" s="77" t="s">
        <v>53</v>
      </c>
      <c r="AK4" s="77" t="s">
        <v>54</v>
      </c>
      <c r="AL4" s="78" t="s">
        <v>55</v>
      </c>
      <c r="AM4" s="78" t="s">
        <v>56</v>
      </c>
      <c r="AN4" s="78" t="s">
        <v>57</v>
      </c>
      <c r="AO4" s="78" t="s">
        <v>58</v>
      </c>
      <c r="AP4" s="78" t="s">
        <v>59</v>
      </c>
      <c r="AQ4" s="78" t="s">
        <v>60</v>
      </c>
      <c r="AR4" s="79" t="s">
        <v>61</v>
      </c>
      <c r="AS4" s="80" t="s">
        <v>62</v>
      </c>
      <c r="AT4" s="81" t="s">
        <v>63</v>
      </c>
      <c r="AU4" s="23"/>
      <c r="AV4" s="74" t="s">
        <v>26</v>
      </c>
      <c r="AW4" s="74" t="s">
        <v>27</v>
      </c>
      <c r="AX4" s="74" t="s">
        <v>28</v>
      </c>
      <c r="AY4" s="74" t="s">
        <v>29</v>
      </c>
      <c r="AZ4" s="74" t="s">
        <v>30</v>
      </c>
      <c r="BA4" s="75" t="s">
        <v>31</v>
      </c>
      <c r="BB4" s="75" t="s">
        <v>32</v>
      </c>
      <c r="BC4" s="75" t="s">
        <v>33</v>
      </c>
      <c r="BD4" s="75" t="s">
        <v>34</v>
      </c>
      <c r="BE4" s="75" t="s">
        <v>35</v>
      </c>
      <c r="BF4" s="76" t="s">
        <v>36</v>
      </c>
      <c r="BG4" s="76" t="s">
        <v>37</v>
      </c>
      <c r="BH4" s="76" t="s">
        <v>38</v>
      </c>
      <c r="BI4" s="76" t="s">
        <v>39</v>
      </c>
      <c r="BJ4" s="76" t="s">
        <v>40</v>
      </c>
      <c r="BK4" s="76" t="s">
        <v>41</v>
      </c>
      <c r="BL4" s="76" t="s">
        <v>42</v>
      </c>
      <c r="BM4" s="76" t="s">
        <v>43</v>
      </c>
      <c r="BN4" s="77" t="s">
        <v>44</v>
      </c>
      <c r="BO4" s="77" t="s">
        <v>45</v>
      </c>
      <c r="BP4" s="77" t="s">
        <v>46</v>
      </c>
      <c r="BQ4" s="77" t="s">
        <v>47</v>
      </c>
      <c r="BR4" s="77" t="s">
        <v>48</v>
      </c>
      <c r="BS4" s="77" t="s">
        <v>49</v>
      </c>
      <c r="BT4" s="77" t="s">
        <v>50</v>
      </c>
      <c r="BU4" s="77" t="s">
        <v>51</v>
      </c>
      <c r="BV4" s="77" t="s">
        <v>52</v>
      </c>
      <c r="BW4" s="77" t="s">
        <v>53</v>
      </c>
      <c r="BX4" s="77" t="s">
        <v>54</v>
      </c>
      <c r="BY4" s="78" t="s">
        <v>55</v>
      </c>
      <c r="BZ4" s="78" t="s">
        <v>56</v>
      </c>
      <c r="CA4" s="78" t="s">
        <v>57</v>
      </c>
      <c r="CB4" s="78" t="s">
        <v>58</v>
      </c>
      <c r="CC4" s="78" t="s">
        <v>59</v>
      </c>
      <c r="CD4" s="78" t="s">
        <v>60</v>
      </c>
      <c r="CE4" s="79" t="s">
        <v>61</v>
      </c>
      <c r="CF4" s="80" t="s">
        <v>62</v>
      </c>
      <c r="CG4" s="81" t="s">
        <v>63</v>
      </c>
      <c r="CH4" s="23"/>
      <c r="CI4" s="123" t="s">
        <v>363</v>
      </c>
      <c r="CJ4" s="106"/>
      <c r="CK4" s="123" t="s">
        <v>363</v>
      </c>
      <c r="CL4" s="106"/>
      <c r="CM4" s="123" t="s">
        <v>363</v>
      </c>
      <c r="CN4" s="106"/>
      <c r="CO4" s="123" t="s">
        <v>363</v>
      </c>
      <c r="CP4" s="106"/>
      <c r="CQ4" s="123" t="s">
        <v>363</v>
      </c>
      <c r="CR4" s="106"/>
      <c r="CS4" s="123" t="s">
        <v>363</v>
      </c>
      <c r="CT4" s="106"/>
      <c r="CU4" s="123" t="s">
        <v>363</v>
      </c>
      <c r="CV4" s="106"/>
      <c r="CW4" s="123" t="s">
        <v>363</v>
      </c>
      <c r="CX4" s="106"/>
      <c r="CY4" s="123" t="s">
        <v>363</v>
      </c>
      <c r="CZ4" s="106"/>
      <c r="DA4" s="123" t="s">
        <v>363</v>
      </c>
      <c r="DB4" s="106"/>
      <c r="DC4" s="123" t="s">
        <v>363</v>
      </c>
      <c r="DD4" s="106"/>
      <c r="DE4" s="123" t="s">
        <v>363</v>
      </c>
      <c r="DF4" s="106"/>
      <c r="DG4" s="123" t="s">
        <v>363</v>
      </c>
      <c r="DH4" s="106"/>
      <c r="DI4" s="123" t="s">
        <v>363</v>
      </c>
      <c r="DJ4" s="106"/>
      <c r="DK4" s="123" t="s">
        <v>363</v>
      </c>
      <c r="DL4" s="106"/>
      <c r="DM4" s="123" t="s">
        <v>363</v>
      </c>
      <c r="DN4" s="106"/>
      <c r="DO4" s="123" t="s">
        <v>363</v>
      </c>
      <c r="DP4" s="106"/>
      <c r="DQ4" s="123" t="s">
        <v>363</v>
      </c>
      <c r="DR4" s="106"/>
      <c r="DS4" s="123" t="s">
        <v>363</v>
      </c>
      <c r="DT4" s="106"/>
      <c r="DU4" s="23"/>
      <c r="DV4" s="74" t="s">
        <v>26</v>
      </c>
      <c r="DW4" s="74" t="s">
        <v>27</v>
      </c>
      <c r="DX4" s="74" t="s">
        <v>28</v>
      </c>
      <c r="DY4" s="74" t="s">
        <v>29</v>
      </c>
      <c r="DZ4" s="74" t="s">
        <v>30</v>
      </c>
      <c r="EA4" s="75" t="s">
        <v>31</v>
      </c>
      <c r="EB4" s="75" t="s">
        <v>32</v>
      </c>
      <c r="EC4" s="75" t="s">
        <v>33</v>
      </c>
      <c r="ED4" s="75" t="s">
        <v>34</v>
      </c>
      <c r="EE4" s="75" t="s">
        <v>35</v>
      </c>
      <c r="EF4" s="76" t="s">
        <v>36</v>
      </c>
      <c r="EG4" s="76" t="s">
        <v>37</v>
      </c>
      <c r="EH4" s="76" t="s">
        <v>38</v>
      </c>
      <c r="EI4" s="76" t="s">
        <v>39</v>
      </c>
      <c r="EJ4" s="76" t="s">
        <v>40</v>
      </c>
      <c r="EK4" s="76" t="s">
        <v>41</v>
      </c>
      <c r="EL4" s="76" t="s">
        <v>42</v>
      </c>
      <c r="EM4" s="76" t="s">
        <v>43</v>
      </c>
      <c r="EN4" s="77" t="s">
        <v>44</v>
      </c>
      <c r="EO4" s="77" t="s">
        <v>45</v>
      </c>
      <c r="EP4" s="77" t="s">
        <v>46</v>
      </c>
      <c r="EQ4" s="77" t="s">
        <v>47</v>
      </c>
      <c r="ER4" s="77" t="s">
        <v>48</v>
      </c>
      <c r="ES4" s="77" t="s">
        <v>49</v>
      </c>
      <c r="ET4" s="77" t="s">
        <v>50</v>
      </c>
      <c r="EU4" s="77" t="s">
        <v>51</v>
      </c>
      <c r="EV4" s="77" t="s">
        <v>52</v>
      </c>
      <c r="EW4" s="77" t="s">
        <v>53</v>
      </c>
      <c r="EX4" s="77" t="s">
        <v>54</v>
      </c>
      <c r="EY4" s="78" t="s">
        <v>55</v>
      </c>
      <c r="EZ4" s="78" t="s">
        <v>56</v>
      </c>
      <c r="FA4" s="78" t="s">
        <v>57</v>
      </c>
      <c r="FB4" s="78" t="s">
        <v>58</v>
      </c>
      <c r="FC4" s="78" t="s">
        <v>59</v>
      </c>
      <c r="FD4" s="78" t="s">
        <v>60</v>
      </c>
      <c r="FE4" s="79" t="s">
        <v>61</v>
      </c>
      <c r="FF4" s="80" t="s">
        <v>62</v>
      </c>
      <c r="FG4" s="81" t="s">
        <v>63</v>
      </c>
      <c r="FH4" s="23"/>
      <c r="FI4" s="74" t="s">
        <v>26</v>
      </c>
      <c r="FJ4" s="74" t="s">
        <v>27</v>
      </c>
      <c r="FK4" s="74" t="s">
        <v>28</v>
      </c>
      <c r="FL4" s="74" t="s">
        <v>29</v>
      </c>
      <c r="FM4" s="74" t="s">
        <v>30</v>
      </c>
      <c r="FN4" s="75" t="s">
        <v>31</v>
      </c>
      <c r="FO4" s="75" t="s">
        <v>32</v>
      </c>
      <c r="FP4" s="75" t="s">
        <v>33</v>
      </c>
      <c r="FQ4" s="75" t="s">
        <v>34</v>
      </c>
      <c r="FR4" s="75" t="s">
        <v>35</v>
      </c>
      <c r="FS4" s="76" t="s">
        <v>36</v>
      </c>
      <c r="FT4" s="76" t="s">
        <v>37</v>
      </c>
      <c r="FU4" s="76" t="s">
        <v>38</v>
      </c>
      <c r="FV4" s="76" t="s">
        <v>39</v>
      </c>
      <c r="FW4" s="76" t="s">
        <v>40</v>
      </c>
      <c r="FX4" s="76" t="s">
        <v>41</v>
      </c>
      <c r="FY4" s="76" t="s">
        <v>42</v>
      </c>
      <c r="FZ4" s="76" t="s">
        <v>43</v>
      </c>
      <c r="GA4" s="77" t="s">
        <v>44</v>
      </c>
      <c r="GB4" s="77" t="s">
        <v>45</v>
      </c>
      <c r="GC4" s="77" t="s">
        <v>46</v>
      </c>
      <c r="GD4" s="77" t="s">
        <v>47</v>
      </c>
      <c r="GE4" s="77" t="s">
        <v>48</v>
      </c>
      <c r="GF4" s="77" t="s">
        <v>49</v>
      </c>
      <c r="GG4" s="77" t="s">
        <v>50</v>
      </c>
      <c r="GH4" s="77" t="s">
        <v>51</v>
      </c>
      <c r="GI4" s="77" t="s">
        <v>52</v>
      </c>
      <c r="GJ4" s="77" t="s">
        <v>53</v>
      </c>
      <c r="GK4" s="77" t="s">
        <v>54</v>
      </c>
      <c r="GL4" s="78" t="s">
        <v>55</v>
      </c>
      <c r="GM4" s="78" t="s">
        <v>56</v>
      </c>
      <c r="GN4" s="78" t="s">
        <v>57</v>
      </c>
      <c r="GO4" s="78" t="s">
        <v>58</v>
      </c>
      <c r="GP4" s="78" t="s">
        <v>59</v>
      </c>
      <c r="GQ4" s="78" t="s">
        <v>60</v>
      </c>
      <c r="GR4" s="79" t="s">
        <v>61</v>
      </c>
      <c r="GS4" s="80" t="s">
        <v>62</v>
      </c>
      <c r="GT4" s="81" t="s">
        <v>63</v>
      </c>
      <c r="GU4" s="23"/>
      <c r="GV4" s="74" t="s">
        <v>26</v>
      </c>
      <c r="GW4" s="74" t="s">
        <v>27</v>
      </c>
      <c r="GX4" s="74" t="s">
        <v>28</v>
      </c>
      <c r="GY4" s="74" t="s">
        <v>29</v>
      </c>
      <c r="GZ4" s="74" t="s">
        <v>30</v>
      </c>
      <c r="HA4" s="75" t="s">
        <v>31</v>
      </c>
      <c r="HB4" s="75" t="s">
        <v>32</v>
      </c>
      <c r="HC4" s="75" t="s">
        <v>33</v>
      </c>
      <c r="HD4" s="75" t="s">
        <v>34</v>
      </c>
      <c r="HE4" s="75" t="s">
        <v>35</v>
      </c>
      <c r="HF4" s="76" t="s">
        <v>36</v>
      </c>
      <c r="HG4" s="76" t="s">
        <v>37</v>
      </c>
      <c r="HH4" s="76" t="s">
        <v>38</v>
      </c>
      <c r="HI4" s="76" t="s">
        <v>39</v>
      </c>
      <c r="HJ4" s="76" t="s">
        <v>40</v>
      </c>
      <c r="HK4" s="76" t="s">
        <v>41</v>
      </c>
      <c r="HL4" s="76" t="s">
        <v>42</v>
      </c>
      <c r="HM4" s="76" t="s">
        <v>43</v>
      </c>
      <c r="HN4" s="77" t="s">
        <v>44</v>
      </c>
      <c r="HO4" s="77" t="s">
        <v>45</v>
      </c>
      <c r="HP4" s="77" t="s">
        <v>46</v>
      </c>
      <c r="HQ4" s="77" t="s">
        <v>47</v>
      </c>
      <c r="HR4" s="77" t="s">
        <v>48</v>
      </c>
      <c r="HS4" s="77" t="s">
        <v>49</v>
      </c>
      <c r="HT4" s="77" t="s">
        <v>50</v>
      </c>
      <c r="HU4" s="77" t="s">
        <v>51</v>
      </c>
      <c r="HV4" s="77" t="s">
        <v>52</v>
      </c>
      <c r="HW4" s="77" t="s">
        <v>53</v>
      </c>
      <c r="HX4" s="77" t="s">
        <v>54</v>
      </c>
      <c r="HY4" s="78" t="s">
        <v>55</v>
      </c>
      <c r="HZ4" s="78" t="s">
        <v>56</v>
      </c>
      <c r="IA4" s="78" t="s">
        <v>57</v>
      </c>
      <c r="IB4" s="78" t="s">
        <v>58</v>
      </c>
      <c r="IC4" s="78" t="s">
        <v>59</v>
      </c>
      <c r="ID4" s="78" t="s">
        <v>60</v>
      </c>
      <c r="IE4" s="79" t="s">
        <v>61</v>
      </c>
      <c r="IF4" s="80" t="s">
        <v>62</v>
      </c>
      <c r="IG4" s="81" t="s">
        <v>63</v>
      </c>
      <c r="IH4" s="23"/>
      <c r="II4" s="74" t="s">
        <v>26</v>
      </c>
      <c r="IJ4" s="74" t="s">
        <v>27</v>
      </c>
      <c r="IK4" s="74" t="s">
        <v>28</v>
      </c>
      <c r="IL4" s="74" t="s">
        <v>29</v>
      </c>
      <c r="IM4" s="74" t="s">
        <v>30</v>
      </c>
      <c r="IN4" s="75" t="s">
        <v>31</v>
      </c>
      <c r="IO4" s="75" t="s">
        <v>32</v>
      </c>
      <c r="IP4" s="75" t="s">
        <v>33</v>
      </c>
      <c r="IQ4" s="75" t="s">
        <v>34</v>
      </c>
      <c r="IR4" s="75" t="s">
        <v>35</v>
      </c>
      <c r="IS4" s="76" t="s">
        <v>36</v>
      </c>
      <c r="IT4" s="76" t="s">
        <v>37</v>
      </c>
      <c r="IU4" s="76" t="s">
        <v>38</v>
      </c>
      <c r="IV4" s="76" t="s">
        <v>39</v>
      </c>
      <c r="IW4" s="76" t="s">
        <v>40</v>
      </c>
      <c r="IX4" s="76" t="s">
        <v>41</v>
      </c>
      <c r="IY4" s="76" t="s">
        <v>42</v>
      </c>
      <c r="IZ4" s="76" t="s">
        <v>43</v>
      </c>
      <c r="JA4" s="77" t="s">
        <v>44</v>
      </c>
      <c r="JB4" s="77" t="s">
        <v>45</v>
      </c>
      <c r="JC4" s="77" t="s">
        <v>46</v>
      </c>
      <c r="JD4" s="77" t="s">
        <v>47</v>
      </c>
      <c r="JE4" s="77" t="s">
        <v>48</v>
      </c>
      <c r="JF4" s="77" t="s">
        <v>49</v>
      </c>
      <c r="JG4" s="77" t="s">
        <v>50</v>
      </c>
      <c r="JH4" s="77" t="s">
        <v>51</v>
      </c>
      <c r="JI4" s="77" t="s">
        <v>52</v>
      </c>
      <c r="JJ4" s="77" t="s">
        <v>53</v>
      </c>
      <c r="JK4" s="77" t="s">
        <v>54</v>
      </c>
      <c r="JL4" s="78" t="s">
        <v>55</v>
      </c>
      <c r="JM4" s="78" t="s">
        <v>56</v>
      </c>
      <c r="JN4" s="78" t="s">
        <v>57</v>
      </c>
      <c r="JO4" s="78" t="s">
        <v>58</v>
      </c>
      <c r="JP4" s="78" t="s">
        <v>59</v>
      </c>
      <c r="JQ4" s="78" t="s">
        <v>60</v>
      </c>
      <c r="JR4" s="79" t="s">
        <v>61</v>
      </c>
      <c r="JS4" s="80" t="s">
        <v>62</v>
      </c>
      <c r="JT4" s="81" t="s">
        <v>63</v>
      </c>
      <c r="JU4" s="23"/>
      <c r="JV4" s="74" t="s">
        <v>26</v>
      </c>
      <c r="JW4" s="74" t="s">
        <v>27</v>
      </c>
      <c r="JX4" s="74" t="s">
        <v>28</v>
      </c>
      <c r="JY4" s="74" t="s">
        <v>29</v>
      </c>
      <c r="JZ4" s="74" t="s">
        <v>30</v>
      </c>
      <c r="KA4" s="75" t="s">
        <v>31</v>
      </c>
      <c r="KB4" s="75" t="s">
        <v>32</v>
      </c>
      <c r="KC4" s="75" t="s">
        <v>33</v>
      </c>
      <c r="KD4" s="75" t="s">
        <v>34</v>
      </c>
      <c r="KE4" s="75" t="s">
        <v>35</v>
      </c>
      <c r="KF4" s="76" t="s">
        <v>36</v>
      </c>
      <c r="KG4" s="76" t="s">
        <v>37</v>
      </c>
      <c r="KH4" s="76" t="s">
        <v>38</v>
      </c>
      <c r="KI4" s="76" t="s">
        <v>39</v>
      </c>
      <c r="KJ4" s="76" t="s">
        <v>40</v>
      </c>
      <c r="KK4" s="76" t="s">
        <v>41</v>
      </c>
      <c r="KL4" s="76" t="s">
        <v>42</v>
      </c>
      <c r="KM4" s="76" t="s">
        <v>43</v>
      </c>
      <c r="KN4" s="77" t="s">
        <v>44</v>
      </c>
      <c r="KO4" s="77" t="s">
        <v>45</v>
      </c>
      <c r="KP4" s="77" t="s">
        <v>46</v>
      </c>
      <c r="KQ4" s="77" t="s">
        <v>47</v>
      </c>
      <c r="KR4" s="77" t="s">
        <v>48</v>
      </c>
      <c r="KS4" s="77" t="s">
        <v>49</v>
      </c>
      <c r="KT4" s="77" t="s">
        <v>50</v>
      </c>
      <c r="KU4" s="77" t="s">
        <v>51</v>
      </c>
      <c r="KV4" s="77" t="s">
        <v>52</v>
      </c>
      <c r="KW4" s="77" t="s">
        <v>53</v>
      </c>
      <c r="KX4" s="77" t="s">
        <v>54</v>
      </c>
      <c r="KY4" s="78" t="s">
        <v>55</v>
      </c>
      <c r="KZ4" s="78" t="s">
        <v>56</v>
      </c>
      <c r="LA4" s="78" t="s">
        <v>57</v>
      </c>
      <c r="LB4" s="78" t="s">
        <v>58</v>
      </c>
      <c r="LC4" s="78" t="s">
        <v>59</v>
      </c>
      <c r="LD4" s="78" t="s">
        <v>60</v>
      </c>
      <c r="LE4" s="79" t="s">
        <v>61</v>
      </c>
      <c r="LF4" s="80" t="s">
        <v>62</v>
      </c>
      <c r="LG4" s="81" t="s">
        <v>63</v>
      </c>
      <c r="LH4" s="23"/>
      <c r="LI4" s="74" t="s">
        <v>26</v>
      </c>
      <c r="LJ4" s="74" t="s">
        <v>27</v>
      </c>
      <c r="LK4" s="74" t="s">
        <v>28</v>
      </c>
      <c r="LL4" s="74" t="s">
        <v>29</v>
      </c>
      <c r="LM4" s="74" t="s">
        <v>30</v>
      </c>
      <c r="LN4" s="75" t="s">
        <v>31</v>
      </c>
      <c r="LO4" s="75" t="s">
        <v>32</v>
      </c>
      <c r="LP4" s="75" t="s">
        <v>33</v>
      </c>
      <c r="LQ4" s="75" t="s">
        <v>34</v>
      </c>
      <c r="LR4" s="75" t="s">
        <v>35</v>
      </c>
      <c r="LS4" s="76" t="s">
        <v>36</v>
      </c>
      <c r="LT4" s="76" t="s">
        <v>37</v>
      </c>
      <c r="LU4" s="76" t="s">
        <v>38</v>
      </c>
      <c r="LV4" s="76" t="s">
        <v>39</v>
      </c>
      <c r="LW4" s="76" t="s">
        <v>40</v>
      </c>
      <c r="LX4" s="76" t="s">
        <v>41</v>
      </c>
      <c r="LY4" s="76" t="s">
        <v>42</v>
      </c>
      <c r="LZ4" s="76" t="s">
        <v>43</v>
      </c>
      <c r="MA4" s="77" t="s">
        <v>44</v>
      </c>
      <c r="MB4" s="77" t="s">
        <v>45</v>
      </c>
      <c r="MC4" s="77" t="s">
        <v>46</v>
      </c>
      <c r="MD4" s="77" t="s">
        <v>47</v>
      </c>
      <c r="ME4" s="77" t="s">
        <v>48</v>
      </c>
      <c r="MF4" s="77" t="s">
        <v>49</v>
      </c>
      <c r="MG4" s="77" t="s">
        <v>50</v>
      </c>
      <c r="MH4" s="77" t="s">
        <v>51</v>
      </c>
      <c r="MI4" s="77" t="s">
        <v>52</v>
      </c>
      <c r="MJ4" s="77" t="s">
        <v>53</v>
      </c>
      <c r="MK4" s="77" t="s">
        <v>54</v>
      </c>
      <c r="ML4" s="78" t="s">
        <v>55</v>
      </c>
      <c r="MM4" s="78" t="s">
        <v>56</v>
      </c>
      <c r="MN4" s="78" t="s">
        <v>57</v>
      </c>
      <c r="MO4" s="78" t="s">
        <v>58</v>
      </c>
      <c r="MP4" s="78" t="s">
        <v>59</v>
      </c>
      <c r="MQ4" s="78" t="s">
        <v>60</v>
      </c>
      <c r="MR4" s="79" t="s">
        <v>61</v>
      </c>
      <c r="MS4" s="80" t="s">
        <v>62</v>
      </c>
      <c r="MT4" s="81" t="s">
        <v>63</v>
      </c>
      <c r="MU4" s="23"/>
      <c r="MV4" s="74" t="s">
        <v>26</v>
      </c>
      <c r="MW4" s="74" t="s">
        <v>27</v>
      </c>
      <c r="MX4" s="74" t="s">
        <v>28</v>
      </c>
      <c r="MY4" s="74" t="s">
        <v>29</v>
      </c>
      <c r="MZ4" s="74" t="s">
        <v>30</v>
      </c>
      <c r="NA4" s="75" t="s">
        <v>31</v>
      </c>
      <c r="NB4" s="75" t="s">
        <v>32</v>
      </c>
      <c r="NC4" s="75" t="s">
        <v>33</v>
      </c>
      <c r="ND4" s="75" t="s">
        <v>34</v>
      </c>
      <c r="NE4" s="75" t="s">
        <v>35</v>
      </c>
      <c r="NF4" s="76" t="s">
        <v>36</v>
      </c>
      <c r="NG4" s="76" t="s">
        <v>37</v>
      </c>
      <c r="NH4" s="76" t="s">
        <v>38</v>
      </c>
      <c r="NI4" s="76" t="s">
        <v>39</v>
      </c>
      <c r="NJ4" s="76" t="s">
        <v>40</v>
      </c>
      <c r="NK4" s="76" t="s">
        <v>41</v>
      </c>
      <c r="NL4" s="76" t="s">
        <v>42</v>
      </c>
      <c r="NM4" s="76" t="s">
        <v>43</v>
      </c>
      <c r="NN4" s="77" t="s">
        <v>44</v>
      </c>
      <c r="NO4" s="77" t="s">
        <v>45</v>
      </c>
      <c r="NP4" s="77" t="s">
        <v>46</v>
      </c>
      <c r="NQ4" s="77" t="s">
        <v>47</v>
      </c>
      <c r="NR4" s="77" t="s">
        <v>48</v>
      </c>
      <c r="NS4" s="77" t="s">
        <v>49</v>
      </c>
      <c r="NT4" s="77" t="s">
        <v>50</v>
      </c>
      <c r="NU4" s="77" t="s">
        <v>51</v>
      </c>
      <c r="NV4" s="77" t="s">
        <v>52</v>
      </c>
      <c r="NW4" s="77" t="s">
        <v>53</v>
      </c>
      <c r="NX4" s="77" t="s">
        <v>54</v>
      </c>
      <c r="NY4" s="78" t="s">
        <v>55</v>
      </c>
      <c r="NZ4" s="78" t="s">
        <v>56</v>
      </c>
      <c r="OA4" s="78" t="s">
        <v>57</v>
      </c>
      <c r="OB4" s="78" t="s">
        <v>58</v>
      </c>
      <c r="OC4" s="78" t="s">
        <v>59</v>
      </c>
      <c r="OD4" s="78" t="s">
        <v>60</v>
      </c>
      <c r="OE4" s="79" t="s">
        <v>61</v>
      </c>
      <c r="OF4" s="80" t="s">
        <v>62</v>
      </c>
      <c r="OG4" s="81" t="s">
        <v>63</v>
      </c>
      <c r="OH4" s="23"/>
      <c r="OI4" s="74" t="s">
        <v>26</v>
      </c>
      <c r="OJ4" s="74" t="s">
        <v>27</v>
      </c>
      <c r="OK4" s="74" t="s">
        <v>28</v>
      </c>
      <c r="OL4" s="74" t="s">
        <v>29</v>
      </c>
      <c r="OM4" s="74" t="s">
        <v>30</v>
      </c>
      <c r="ON4" s="75" t="s">
        <v>31</v>
      </c>
      <c r="OO4" s="75" t="s">
        <v>32</v>
      </c>
      <c r="OP4" s="75" t="s">
        <v>33</v>
      </c>
      <c r="OQ4" s="75" t="s">
        <v>34</v>
      </c>
      <c r="OR4" s="75" t="s">
        <v>35</v>
      </c>
      <c r="OS4" s="76" t="s">
        <v>36</v>
      </c>
      <c r="OT4" s="76" t="s">
        <v>37</v>
      </c>
      <c r="OU4" s="76" t="s">
        <v>38</v>
      </c>
      <c r="OV4" s="76" t="s">
        <v>39</v>
      </c>
      <c r="OW4" s="76" t="s">
        <v>40</v>
      </c>
      <c r="OX4" s="76" t="s">
        <v>41</v>
      </c>
      <c r="OY4" s="76" t="s">
        <v>42</v>
      </c>
      <c r="OZ4" s="76" t="s">
        <v>43</v>
      </c>
      <c r="PA4" s="77" t="s">
        <v>44</v>
      </c>
      <c r="PB4" s="77" t="s">
        <v>45</v>
      </c>
      <c r="PC4" s="77" t="s">
        <v>46</v>
      </c>
      <c r="PD4" s="77" t="s">
        <v>47</v>
      </c>
      <c r="PE4" s="77" t="s">
        <v>48</v>
      </c>
      <c r="PF4" s="77" t="s">
        <v>49</v>
      </c>
      <c r="PG4" s="77" t="s">
        <v>50</v>
      </c>
      <c r="PH4" s="77" t="s">
        <v>51</v>
      </c>
      <c r="PI4" s="77" t="s">
        <v>52</v>
      </c>
      <c r="PJ4" s="77" t="s">
        <v>53</v>
      </c>
      <c r="PK4" s="77" t="s">
        <v>54</v>
      </c>
      <c r="PL4" s="78" t="s">
        <v>55</v>
      </c>
      <c r="PM4" s="78" t="s">
        <v>56</v>
      </c>
      <c r="PN4" s="78" t="s">
        <v>57</v>
      </c>
      <c r="PO4" s="78" t="s">
        <v>58</v>
      </c>
      <c r="PP4" s="78" t="s">
        <v>59</v>
      </c>
      <c r="PQ4" s="78" t="s">
        <v>60</v>
      </c>
      <c r="PR4" s="79" t="s">
        <v>61</v>
      </c>
      <c r="PS4" s="80" t="s">
        <v>62</v>
      </c>
      <c r="PT4" s="81" t="s">
        <v>63</v>
      </c>
    </row>
    <row r="5" spans="1:436" ht="21.95" customHeight="1" x14ac:dyDescent="0.25">
      <c r="A5" s="110" t="s">
        <v>358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99"/>
      <c r="FK5" s="99"/>
      <c r="FL5" s="99"/>
      <c r="FM5" s="99"/>
      <c r="FN5" s="99"/>
      <c r="FO5" s="99"/>
      <c r="FP5" s="99"/>
      <c r="FQ5" s="99"/>
      <c r="FR5" s="99"/>
      <c r="FS5" s="99"/>
      <c r="FT5" s="99"/>
      <c r="FU5" s="99"/>
      <c r="FV5" s="99"/>
      <c r="FW5" s="99"/>
      <c r="FX5" s="99"/>
      <c r="FY5" s="99"/>
      <c r="FZ5" s="99"/>
      <c r="GA5" s="99"/>
      <c r="GB5" s="99"/>
      <c r="GC5" s="99"/>
      <c r="GD5" s="99"/>
      <c r="GE5" s="99"/>
      <c r="GF5" s="99"/>
      <c r="GG5" s="99"/>
      <c r="GH5" s="99"/>
      <c r="GI5" s="99"/>
      <c r="GJ5" s="99"/>
      <c r="GK5" s="99"/>
      <c r="GL5" s="99"/>
      <c r="GM5" s="99"/>
      <c r="GN5" s="99"/>
      <c r="GO5" s="99"/>
      <c r="GP5" s="99"/>
      <c r="GQ5" s="99"/>
      <c r="GR5" s="99"/>
      <c r="GS5" s="99"/>
      <c r="GT5" s="99"/>
      <c r="GU5" s="99"/>
      <c r="GV5" s="99"/>
      <c r="GW5" s="99"/>
      <c r="GX5" s="99"/>
      <c r="GY5" s="99"/>
      <c r="GZ5" s="99"/>
      <c r="HA5" s="99"/>
      <c r="HB5" s="99"/>
      <c r="HC5" s="99"/>
      <c r="HD5" s="99"/>
      <c r="HE5" s="99"/>
      <c r="HF5" s="99"/>
      <c r="HG5" s="99"/>
      <c r="HH5" s="99"/>
      <c r="HI5" s="99"/>
      <c r="HJ5" s="99"/>
      <c r="HK5" s="99"/>
      <c r="HL5" s="99"/>
      <c r="HM5" s="99"/>
      <c r="HN5" s="99"/>
      <c r="HO5" s="99"/>
      <c r="HP5" s="99"/>
      <c r="HQ5" s="99"/>
      <c r="HR5" s="99"/>
      <c r="HS5" s="99"/>
      <c r="HT5" s="99"/>
      <c r="HU5" s="99"/>
      <c r="HV5" s="99"/>
      <c r="HW5" s="99"/>
      <c r="HX5" s="99"/>
      <c r="HY5" s="99"/>
      <c r="HZ5" s="99"/>
      <c r="IA5" s="99"/>
      <c r="IB5" s="99"/>
      <c r="IC5" s="99"/>
      <c r="ID5" s="99"/>
      <c r="IE5" s="99"/>
      <c r="IF5" s="99"/>
      <c r="IG5" s="99"/>
      <c r="IH5" s="99"/>
      <c r="II5" s="99"/>
      <c r="IJ5" s="99"/>
      <c r="IK5" s="99"/>
      <c r="IL5" s="99"/>
      <c r="IM5" s="99"/>
      <c r="IN5" s="99"/>
      <c r="IO5" s="99"/>
      <c r="IP5" s="99"/>
      <c r="IQ5" s="99"/>
      <c r="IR5" s="99"/>
      <c r="IS5" s="99"/>
      <c r="IT5" s="99"/>
      <c r="IU5" s="99"/>
      <c r="IV5" s="99"/>
      <c r="IW5" s="99"/>
      <c r="IX5" s="99"/>
      <c r="IY5" s="99"/>
      <c r="IZ5" s="99"/>
      <c r="JA5" s="99"/>
      <c r="JB5" s="99"/>
      <c r="JC5" s="99"/>
      <c r="JD5" s="99"/>
      <c r="JE5" s="99"/>
      <c r="JF5" s="99"/>
      <c r="JG5" s="99"/>
      <c r="JH5" s="99"/>
      <c r="JI5" s="99"/>
      <c r="JJ5" s="99"/>
      <c r="JK5" s="99"/>
      <c r="JL5" s="99"/>
      <c r="JM5" s="99"/>
      <c r="JN5" s="99"/>
      <c r="JO5" s="99"/>
      <c r="JP5" s="99"/>
      <c r="JQ5" s="99"/>
      <c r="JR5" s="99"/>
      <c r="JS5" s="99"/>
      <c r="JT5" s="99"/>
      <c r="JU5" s="99"/>
      <c r="JV5" s="99"/>
      <c r="JW5" s="99"/>
      <c r="JX5" s="99"/>
      <c r="JY5" s="99"/>
      <c r="JZ5" s="99"/>
      <c r="KA5" s="99"/>
      <c r="KB5" s="99"/>
      <c r="KC5" s="99"/>
      <c r="KD5" s="99"/>
      <c r="KE5" s="99"/>
      <c r="KF5" s="99"/>
      <c r="KG5" s="99"/>
      <c r="KH5" s="99"/>
      <c r="KI5" s="99"/>
      <c r="KJ5" s="99"/>
      <c r="KK5" s="99"/>
      <c r="KL5" s="99"/>
      <c r="KM5" s="99"/>
      <c r="KN5" s="99"/>
      <c r="KO5" s="99"/>
      <c r="KP5" s="99"/>
      <c r="KQ5" s="99"/>
      <c r="KR5" s="99"/>
      <c r="KS5" s="99"/>
      <c r="KT5" s="99"/>
      <c r="KU5" s="99"/>
      <c r="KV5" s="99"/>
      <c r="KW5" s="99"/>
      <c r="KX5" s="99"/>
      <c r="KY5" s="99"/>
      <c r="KZ5" s="99"/>
      <c r="LA5" s="99"/>
      <c r="LB5" s="99"/>
      <c r="LC5" s="99"/>
      <c r="LD5" s="99"/>
      <c r="LE5" s="99"/>
      <c r="LF5" s="99"/>
      <c r="LG5" s="99"/>
      <c r="LH5" s="99"/>
      <c r="LI5" s="99"/>
      <c r="LJ5" s="99"/>
      <c r="LK5" s="99"/>
      <c r="LL5" s="99"/>
      <c r="LM5" s="99"/>
      <c r="LN5" s="99"/>
      <c r="LO5" s="99"/>
      <c r="LP5" s="99"/>
      <c r="LQ5" s="99"/>
      <c r="LR5" s="99"/>
      <c r="LS5" s="99"/>
      <c r="LT5" s="99"/>
      <c r="LU5" s="99"/>
      <c r="LV5" s="99"/>
      <c r="LW5" s="99"/>
      <c r="LX5" s="99"/>
      <c r="LY5" s="99"/>
      <c r="LZ5" s="99"/>
      <c r="MA5" s="99"/>
      <c r="MB5" s="99"/>
      <c r="MC5" s="99"/>
      <c r="MD5" s="99"/>
      <c r="ME5" s="99"/>
      <c r="MF5" s="99"/>
      <c r="MG5" s="99"/>
      <c r="MH5" s="99"/>
      <c r="MI5" s="99"/>
      <c r="MJ5" s="99"/>
      <c r="MK5" s="99"/>
      <c r="ML5" s="99"/>
      <c r="MM5" s="99"/>
      <c r="MN5" s="99"/>
      <c r="MO5" s="99"/>
      <c r="MP5" s="99"/>
      <c r="MQ5" s="99"/>
      <c r="MR5" s="99"/>
      <c r="MS5" s="99"/>
      <c r="MT5" s="99"/>
      <c r="MU5" s="99"/>
      <c r="MV5" s="99"/>
      <c r="MW5" s="99"/>
      <c r="MX5" s="99"/>
      <c r="MY5" s="99"/>
      <c r="MZ5" s="99"/>
      <c r="NA5" s="99"/>
      <c r="NB5" s="99"/>
      <c r="NC5" s="99"/>
      <c r="ND5" s="99"/>
      <c r="NE5" s="99"/>
      <c r="NF5" s="99"/>
      <c r="NG5" s="99"/>
      <c r="NH5" s="99"/>
      <c r="NI5" s="99"/>
      <c r="NJ5" s="99"/>
      <c r="NK5" s="99"/>
      <c r="NL5" s="99"/>
      <c r="NM5" s="99"/>
      <c r="NN5" s="99"/>
      <c r="NO5" s="99"/>
      <c r="NP5" s="99"/>
      <c r="NQ5" s="99"/>
      <c r="NR5" s="99"/>
      <c r="NS5" s="99"/>
      <c r="NT5" s="99"/>
      <c r="NU5" s="99"/>
      <c r="NV5" s="99"/>
      <c r="NW5" s="99"/>
      <c r="NX5" s="99"/>
      <c r="NY5" s="99"/>
      <c r="NZ5" s="99"/>
      <c r="OA5" s="99"/>
      <c r="OB5" s="99"/>
      <c r="OC5" s="99"/>
      <c r="OD5" s="99"/>
      <c r="OE5" s="99"/>
      <c r="OF5" s="99"/>
      <c r="OG5" s="99"/>
      <c r="OH5" s="99"/>
      <c r="OI5" s="99"/>
      <c r="OJ5" s="99"/>
      <c r="OK5" s="99"/>
      <c r="OL5" s="99"/>
      <c r="OM5" s="99"/>
      <c r="ON5" s="99"/>
      <c r="OO5" s="99"/>
      <c r="OP5" s="99"/>
      <c r="OQ5" s="99"/>
      <c r="OR5" s="99"/>
      <c r="OS5" s="99"/>
      <c r="OT5" s="99"/>
      <c r="OU5" s="99"/>
      <c r="OV5" s="99"/>
      <c r="OW5" s="99"/>
      <c r="OX5" s="99"/>
      <c r="OY5" s="99"/>
      <c r="OZ5" s="99"/>
      <c r="PA5" s="99"/>
      <c r="PB5" s="99"/>
      <c r="PC5" s="99"/>
      <c r="PD5" s="99"/>
      <c r="PE5" s="99"/>
      <c r="PF5" s="99"/>
      <c r="PG5" s="99"/>
      <c r="PH5" s="99"/>
      <c r="PI5" s="99"/>
      <c r="PJ5" s="99"/>
      <c r="PK5" s="99"/>
      <c r="PL5" s="99"/>
      <c r="PM5" s="99"/>
      <c r="PN5" s="99"/>
      <c r="PO5" s="99"/>
      <c r="PP5" s="99"/>
      <c r="PQ5" s="99"/>
      <c r="PR5" s="99"/>
      <c r="PS5" s="99"/>
      <c r="PT5" s="100"/>
    </row>
    <row r="6" spans="1:436" s="119" customFormat="1" ht="25.5" x14ac:dyDescent="0.25">
      <c r="A6" s="118"/>
      <c r="CH6" s="109"/>
      <c r="CI6" s="120" t="s">
        <v>360</v>
      </c>
      <c r="CJ6" s="120" t="s">
        <v>361</v>
      </c>
      <c r="CK6" s="120" t="s">
        <v>360</v>
      </c>
      <c r="CL6" s="120" t="s">
        <v>361</v>
      </c>
      <c r="CM6" s="120" t="s">
        <v>360</v>
      </c>
      <c r="CN6" s="120" t="s">
        <v>361</v>
      </c>
      <c r="CO6" s="120" t="s">
        <v>360</v>
      </c>
      <c r="CP6" s="120" t="s">
        <v>361</v>
      </c>
      <c r="CQ6" s="120" t="s">
        <v>360</v>
      </c>
      <c r="CR6" s="120" t="s">
        <v>361</v>
      </c>
      <c r="CS6" s="120" t="s">
        <v>360</v>
      </c>
      <c r="CT6" s="120" t="s">
        <v>361</v>
      </c>
      <c r="CU6" s="120" t="s">
        <v>360</v>
      </c>
      <c r="CV6" s="120" t="s">
        <v>361</v>
      </c>
      <c r="CW6" s="120" t="s">
        <v>360</v>
      </c>
      <c r="CX6" s="120" t="s">
        <v>361</v>
      </c>
      <c r="CY6" s="120" t="s">
        <v>360</v>
      </c>
      <c r="CZ6" s="120" t="s">
        <v>361</v>
      </c>
      <c r="DA6" s="120" t="s">
        <v>360</v>
      </c>
      <c r="DB6" s="120" t="s">
        <v>361</v>
      </c>
      <c r="DC6" s="120" t="s">
        <v>360</v>
      </c>
      <c r="DD6" s="120" t="s">
        <v>361</v>
      </c>
      <c r="DE6" s="120" t="s">
        <v>360</v>
      </c>
      <c r="DF6" s="120" t="s">
        <v>361</v>
      </c>
      <c r="DG6" s="120" t="s">
        <v>360</v>
      </c>
      <c r="DH6" s="120" t="s">
        <v>361</v>
      </c>
      <c r="DI6" s="120" t="s">
        <v>360</v>
      </c>
      <c r="DJ6" s="120" t="s">
        <v>361</v>
      </c>
      <c r="DK6" s="120" t="s">
        <v>360</v>
      </c>
      <c r="DL6" s="120" t="s">
        <v>361</v>
      </c>
      <c r="DM6" s="120" t="s">
        <v>360</v>
      </c>
      <c r="DN6" s="120" t="s">
        <v>361</v>
      </c>
      <c r="DO6" s="120" t="s">
        <v>360</v>
      </c>
      <c r="DP6" s="120" t="s">
        <v>361</v>
      </c>
      <c r="DQ6" s="120" t="s">
        <v>360</v>
      </c>
      <c r="DR6" s="120" t="s">
        <v>361</v>
      </c>
      <c r="DS6" s="120" t="s">
        <v>360</v>
      </c>
      <c r="DT6" s="120" t="s">
        <v>361</v>
      </c>
      <c r="DU6" s="109"/>
    </row>
    <row r="7" spans="1:436" ht="26.25" thickBot="1" x14ac:dyDescent="0.3">
      <c r="A7" s="111"/>
      <c r="B7" s="112" t="s">
        <v>356</v>
      </c>
      <c r="C7" s="112"/>
      <c r="D7" s="122" t="s">
        <v>364</v>
      </c>
      <c r="E7" s="124" t="s">
        <v>81</v>
      </c>
      <c r="F7" s="111" t="s">
        <v>73</v>
      </c>
      <c r="G7" s="111"/>
      <c r="H7" s="113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3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5"/>
      <c r="CH7" s="109"/>
      <c r="CI7" s="126">
        <v>3</v>
      </c>
      <c r="CJ7" s="127">
        <v>6</v>
      </c>
      <c r="CK7" s="116">
        <v>3</v>
      </c>
      <c r="CL7" s="117">
        <v>6</v>
      </c>
      <c r="CM7" s="126">
        <v>3</v>
      </c>
      <c r="CN7" s="127">
        <v>6</v>
      </c>
      <c r="CO7" s="116">
        <v>3</v>
      </c>
      <c r="CP7" s="117">
        <v>6</v>
      </c>
      <c r="CQ7" s="126">
        <v>3</v>
      </c>
      <c r="CR7" s="127">
        <v>6</v>
      </c>
      <c r="CS7" s="116">
        <v>3</v>
      </c>
      <c r="CT7" s="117">
        <v>6</v>
      </c>
      <c r="CU7" s="126">
        <v>3</v>
      </c>
      <c r="CV7" s="127">
        <v>6</v>
      </c>
      <c r="CW7" s="116">
        <v>3</v>
      </c>
      <c r="CX7" s="117">
        <v>6</v>
      </c>
      <c r="CY7" s="126">
        <v>3</v>
      </c>
      <c r="CZ7" s="127">
        <v>6</v>
      </c>
      <c r="DA7" s="116">
        <v>3</v>
      </c>
      <c r="DB7" s="117">
        <v>6</v>
      </c>
      <c r="DC7" s="126">
        <v>3</v>
      </c>
      <c r="DD7" s="127">
        <v>6</v>
      </c>
      <c r="DE7" s="116">
        <v>3</v>
      </c>
      <c r="DF7" s="117">
        <v>6</v>
      </c>
      <c r="DG7" s="126">
        <v>3</v>
      </c>
      <c r="DH7" s="127">
        <v>6</v>
      </c>
      <c r="DI7" s="116">
        <v>3</v>
      </c>
      <c r="DJ7" s="117">
        <v>6</v>
      </c>
      <c r="DK7" s="126">
        <v>3</v>
      </c>
      <c r="DL7" s="127">
        <v>6</v>
      </c>
      <c r="DM7" s="116">
        <v>3</v>
      </c>
      <c r="DN7" s="117">
        <v>6</v>
      </c>
      <c r="DO7" s="126">
        <v>3</v>
      </c>
      <c r="DP7" s="127">
        <v>6</v>
      </c>
      <c r="DQ7" s="116">
        <v>3</v>
      </c>
      <c r="DR7" s="117">
        <v>6</v>
      </c>
      <c r="DS7" s="126">
        <v>3</v>
      </c>
      <c r="DT7" s="127">
        <v>6</v>
      </c>
      <c r="DU7" s="109"/>
      <c r="DV7" s="114"/>
      <c r="DW7" s="114"/>
      <c r="DX7" s="114"/>
      <c r="DY7" s="114"/>
      <c r="DZ7" s="114"/>
      <c r="EA7" s="114"/>
      <c r="EB7" s="114"/>
      <c r="EC7" s="114"/>
      <c r="ED7" s="114"/>
      <c r="EE7" s="114"/>
      <c r="EF7" s="114"/>
      <c r="EG7" s="114"/>
      <c r="EH7" s="114"/>
      <c r="EI7" s="114"/>
      <c r="EJ7" s="114"/>
      <c r="EK7" s="114"/>
      <c r="EL7" s="114"/>
      <c r="EM7" s="114"/>
      <c r="EN7" s="114"/>
      <c r="EO7" s="114"/>
      <c r="EP7" s="114"/>
      <c r="EQ7" s="114"/>
      <c r="ER7" s="114"/>
      <c r="ES7" s="114"/>
      <c r="ET7" s="114"/>
      <c r="EU7" s="114"/>
      <c r="EV7" s="114"/>
      <c r="EW7" s="114"/>
      <c r="EX7" s="114"/>
      <c r="EY7" s="114"/>
      <c r="EZ7" s="114"/>
      <c r="FA7" s="114"/>
      <c r="FB7" s="114"/>
      <c r="FC7" s="114"/>
      <c r="FD7" s="114"/>
      <c r="FE7" s="114"/>
      <c r="FF7" s="114"/>
      <c r="FG7" s="114"/>
      <c r="FH7" s="113"/>
      <c r="FI7" s="114"/>
      <c r="FJ7" s="114"/>
      <c r="FK7" s="114"/>
      <c r="FL7" s="114"/>
      <c r="FM7" s="114"/>
      <c r="FN7" s="114"/>
      <c r="FO7" s="114"/>
      <c r="FP7" s="114"/>
      <c r="FQ7" s="114"/>
      <c r="FR7" s="114"/>
      <c r="FS7" s="114"/>
      <c r="FT7" s="114"/>
      <c r="FU7" s="114"/>
      <c r="FV7" s="114"/>
      <c r="FW7" s="114"/>
      <c r="FX7" s="114"/>
      <c r="FY7" s="114"/>
      <c r="FZ7" s="114"/>
      <c r="GA7" s="114"/>
      <c r="GB7" s="114"/>
      <c r="GC7" s="114"/>
      <c r="GD7" s="114"/>
      <c r="GE7" s="114"/>
      <c r="GF7" s="114"/>
      <c r="GG7" s="114"/>
      <c r="GH7" s="114"/>
      <c r="GI7" s="114"/>
      <c r="GJ7" s="114"/>
      <c r="GK7" s="114"/>
      <c r="GL7" s="114"/>
      <c r="GM7" s="114"/>
      <c r="GN7" s="114"/>
      <c r="GO7" s="114"/>
      <c r="GP7" s="114"/>
      <c r="GQ7" s="114"/>
      <c r="GR7" s="114"/>
      <c r="GS7" s="114"/>
      <c r="GT7" s="114"/>
      <c r="GU7" s="113"/>
      <c r="GV7" s="114"/>
      <c r="GW7" s="114"/>
      <c r="GX7" s="114"/>
      <c r="GY7" s="114"/>
      <c r="GZ7" s="114"/>
      <c r="HA7" s="114"/>
      <c r="HB7" s="114"/>
      <c r="HC7" s="114"/>
      <c r="HD7" s="114"/>
      <c r="HE7" s="114"/>
      <c r="HF7" s="114"/>
      <c r="HG7" s="114"/>
      <c r="HH7" s="114"/>
      <c r="HI7" s="114"/>
      <c r="HJ7" s="114"/>
      <c r="HK7" s="114"/>
      <c r="HL7" s="114"/>
      <c r="HM7" s="114"/>
      <c r="HN7" s="114"/>
      <c r="HO7" s="114"/>
      <c r="HP7" s="114"/>
      <c r="HQ7" s="114"/>
      <c r="HR7" s="114"/>
      <c r="HS7" s="114"/>
      <c r="HT7" s="114"/>
      <c r="HU7" s="114"/>
      <c r="HV7" s="114"/>
      <c r="HW7" s="114"/>
      <c r="HX7" s="114"/>
      <c r="HY7" s="114"/>
      <c r="HZ7" s="114"/>
      <c r="IA7" s="114"/>
      <c r="IB7" s="114"/>
      <c r="IC7" s="114"/>
      <c r="ID7" s="114"/>
      <c r="IE7" s="114"/>
      <c r="IF7" s="114"/>
      <c r="IG7" s="114"/>
      <c r="IH7" s="113"/>
      <c r="II7" s="114"/>
      <c r="IJ7" s="114"/>
      <c r="IK7" s="114"/>
      <c r="IL7" s="114"/>
      <c r="IM7" s="114"/>
      <c r="IN7" s="114"/>
      <c r="IO7" s="114"/>
      <c r="IP7" s="114"/>
      <c r="IQ7" s="114"/>
      <c r="IR7" s="114"/>
      <c r="IS7" s="114"/>
      <c r="IT7" s="114"/>
      <c r="IU7" s="114"/>
      <c r="IV7" s="114"/>
      <c r="IW7" s="114"/>
      <c r="IX7" s="114"/>
      <c r="IY7" s="114"/>
      <c r="IZ7" s="114"/>
      <c r="JA7" s="114"/>
      <c r="JB7" s="114"/>
      <c r="JC7" s="114"/>
      <c r="JD7" s="114"/>
      <c r="JE7" s="114"/>
      <c r="JF7" s="114"/>
      <c r="JG7" s="114"/>
      <c r="JH7" s="114"/>
      <c r="JI7" s="114"/>
      <c r="JJ7" s="114"/>
      <c r="JK7" s="114"/>
      <c r="JL7" s="114"/>
      <c r="JM7" s="114"/>
      <c r="JN7" s="114"/>
      <c r="JO7" s="114"/>
      <c r="JP7" s="114"/>
      <c r="JQ7" s="114"/>
      <c r="JR7" s="114"/>
      <c r="JS7" s="114"/>
      <c r="JT7" s="114"/>
      <c r="JU7" s="113"/>
      <c r="JV7" s="114"/>
      <c r="JW7" s="114"/>
      <c r="JX7" s="114"/>
      <c r="JY7" s="114"/>
      <c r="JZ7" s="114"/>
      <c r="KA7" s="114"/>
      <c r="KB7" s="114"/>
      <c r="KC7" s="114"/>
      <c r="KD7" s="114"/>
      <c r="KE7" s="114"/>
      <c r="KF7" s="114"/>
      <c r="KG7" s="114"/>
      <c r="KH7" s="114"/>
      <c r="KI7" s="114"/>
      <c r="KJ7" s="114"/>
      <c r="KK7" s="114"/>
      <c r="KL7" s="114"/>
      <c r="KM7" s="114"/>
      <c r="KN7" s="114"/>
      <c r="KO7" s="114"/>
      <c r="KP7" s="114"/>
      <c r="KQ7" s="114"/>
      <c r="KR7" s="114"/>
      <c r="KS7" s="114"/>
      <c r="KT7" s="114"/>
      <c r="KU7" s="114"/>
      <c r="KV7" s="114"/>
      <c r="KW7" s="114"/>
      <c r="KX7" s="114"/>
      <c r="KY7" s="114"/>
      <c r="KZ7" s="114"/>
      <c r="LA7" s="114"/>
      <c r="LB7" s="114"/>
      <c r="LC7" s="114"/>
      <c r="LD7" s="114"/>
      <c r="LE7" s="114"/>
      <c r="LF7" s="114"/>
      <c r="LG7" s="114"/>
      <c r="LH7" s="113"/>
      <c r="LI7" s="114"/>
      <c r="LJ7" s="114"/>
      <c r="LK7" s="114"/>
      <c r="LL7" s="114"/>
      <c r="LM7" s="114"/>
      <c r="LN7" s="114"/>
      <c r="LO7" s="114"/>
      <c r="LP7" s="114"/>
      <c r="LQ7" s="114"/>
      <c r="LR7" s="114"/>
      <c r="LS7" s="114"/>
      <c r="LT7" s="114"/>
      <c r="LU7" s="114"/>
      <c r="LV7" s="114"/>
      <c r="LW7" s="114"/>
      <c r="LX7" s="114"/>
      <c r="LY7" s="114"/>
      <c r="LZ7" s="114"/>
      <c r="MA7" s="114"/>
      <c r="MB7" s="114"/>
      <c r="MC7" s="114"/>
      <c r="MD7" s="114"/>
      <c r="ME7" s="114"/>
      <c r="MF7" s="114"/>
      <c r="MG7" s="114"/>
      <c r="MH7" s="114"/>
      <c r="MI7" s="114"/>
      <c r="MJ7" s="114"/>
      <c r="MK7" s="114"/>
      <c r="ML7" s="114"/>
      <c r="MM7" s="114"/>
      <c r="MN7" s="114"/>
      <c r="MO7" s="114"/>
      <c r="MP7" s="114"/>
      <c r="MQ7" s="114"/>
      <c r="MR7" s="114"/>
      <c r="MS7" s="114"/>
      <c r="MT7" s="114"/>
      <c r="MU7" s="113"/>
      <c r="MV7" s="114"/>
      <c r="MW7" s="114"/>
      <c r="MX7" s="114"/>
      <c r="MY7" s="114"/>
      <c r="MZ7" s="114"/>
      <c r="NA7" s="114"/>
      <c r="NB7" s="114"/>
      <c r="NC7" s="114"/>
      <c r="ND7" s="114"/>
      <c r="NE7" s="114"/>
      <c r="NF7" s="114"/>
      <c r="NG7" s="114"/>
      <c r="NH7" s="114"/>
      <c r="NI7" s="114"/>
      <c r="NJ7" s="114"/>
      <c r="NK7" s="114"/>
      <c r="NL7" s="114"/>
      <c r="NM7" s="114"/>
      <c r="NN7" s="114"/>
      <c r="NO7" s="114"/>
      <c r="NP7" s="114"/>
      <c r="NQ7" s="114"/>
      <c r="NR7" s="114"/>
      <c r="NS7" s="114"/>
      <c r="NT7" s="114"/>
      <c r="NU7" s="114"/>
      <c r="NV7" s="114"/>
      <c r="NW7" s="114"/>
      <c r="NX7" s="114"/>
      <c r="NY7" s="114"/>
      <c r="NZ7" s="114"/>
      <c r="OA7" s="114"/>
      <c r="OB7" s="114"/>
      <c r="OC7" s="114"/>
      <c r="OD7" s="114"/>
      <c r="OE7" s="114"/>
      <c r="OF7" s="114"/>
      <c r="OG7" s="114"/>
      <c r="OH7" s="113"/>
      <c r="OI7" s="114"/>
      <c r="OJ7" s="114"/>
      <c r="OK7" s="114"/>
      <c r="OL7" s="114"/>
      <c r="OM7" s="114"/>
      <c r="ON7" s="114"/>
      <c r="OO7" s="114"/>
      <c r="OP7" s="114"/>
      <c r="OQ7" s="114"/>
      <c r="OR7" s="114"/>
      <c r="OS7" s="114"/>
      <c r="OT7" s="114"/>
      <c r="OU7" s="114"/>
      <c r="OV7" s="114"/>
      <c r="OW7" s="114"/>
      <c r="OX7" s="114"/>
      <c r="OY7" s="114"/>
      <c r="OZ7" s="114"/>
      <c r="PA7" s="114"/>
      <c r="PB7" s="114"/>
      <c r="PC7" s="114"/>
      <c r="PD7" s="114"/>
      <c r="PE7" s="114"/>
      <c r="PF7" s="114"/>
      <c r="PG7" s="114"/>
      <c r="PH7" s="114"/>
      <c r="PI7" s="114"/>
      <c r="PJ7" s="114"/>
      <c r="PK7" s="114"/>
      <c r="PL7" s="114"/>
      <c r="PM7" s="114"/>
      <c r="PN7" s="114"/>
      <c r="PO7" s="114"/>
      <c r="PP7" s="114"/>
      <c r="PQ7" s="114"/>
      <c r="PR7" s="114"/>
      <c r="PS7" s="114"/>
      <c r="PT7" s="114"/>
    </row>
    <row r="8" spans="1:436" ht="15.75" thickBot="1" x14ac:dyDescent="0.3">
      <c r="A8" s="24"/>
      <c r="B8" s="25"/>
      <c r="C8" s="121" t="s">
        <v>362</v>
      </c>
      <c r="D8" s="122" t="s">
        <v>364</v>
      </c>
      <c r="E8" s="125" t="s">
        <v>70</v>
      </c>
      <c r="F8" s="125" t="s">
        <v>67</v>
      </c>
      <c r="G8" s="24"/>
      <c r="H8" s="23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3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107"/>
      <c r="CH8" s="109"/>
      <c r="CI8" s="128">
        <v>12</v>
      </c>
      <c r="CJ8" s="129">
        <v>20</v>
      </c>
      <c r="CK8" s="108">
        <v>12</v>
      </c>
      <c r="CL8" s="82">
        <v>20</v>
      </c>
      <c r="CM8" s="128">
        <v>12</v>
      </c>
      <c r="CN8" s="129">
        <v>20</v>
      </c>
      <c r="CO8" s="108">
        <v>12</v>
      </c>
      <c r="CP8" s="82">
        <v>20</v>
      </c>
      <c r="CQ8" s="128">
        <v>12</v>
      </c>
      <c r="CR8" s="129">
        <v>20</v>
      </c>
      <c r="CS8" s="108">
        <v>12</v>
      </c>
      <c r="CT8" s="82">
        <v>20</v>
      </c>
      <c r="CU8" s="128">
        <v>12</v>
      </c>
      <c r="CV8" s="129">
        <v>20</v>
      </c>
      <c r="CW8" s="108">
        <v>12</v>
      </c>
      <c r="CX8" s="82">
        <v>20</v>
      </c>
      <c r="CY8" s="128">
        <v>12</v>
      </c>
      <c r="CZ8" s="129">
        <v>20</v>
      </c>
      <c r="DA8" s="108">
        <v>12</v>
      </c>
      <c r="DB8" s="82">
        <v>20</v>
      </c>
      <c r="DC8" s="128">
        <v>12</v>
      </c>
      <c r="DD8" s="129">
        <v>20</v>
      </c>
      <c r="DE8" s="108">
        <v>12</v>
      </c>
      <c r="DF8" s="82">
        <v>20</v>
      </c>
      <c r="DG8" s="128">
        <v>12</v>
      </c>
      <c r="DH8" s="129">
        <v>20</v>
      </c>
      <c r="DI8" s="108">
        <v>12</v>
      </c>
      <c r="DJ8" s="82">
        <v>20</v>
      </c>
      <c r="DK8" s="128">
        <v>12</v>
      </c>
      <c r="DL8" s="129">
        <v>20</v>
      </c>
      <c r="DM8" s="108">
        <v>12</v>
      </c>
      <c r="DN8" s="82">
        <v>20</v>
      </c>
      <c r="DO8" s="128">
        <v>12</v>
      </c>
      <c r="DP8" s="129">
        <v>20</v>
      </c>
      <c r="DQ8" s="108">
        <v>12</v>
      </c>
      <c r="DR8" s="82">
        <v>20</v>
      </c>
      <c r="DS8" s="128">
        <v>12</v>
      </c>
      <c r="DT8" s="129">
        <v>20</v>
      </c>
      <c r="DU8" s="109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3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3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3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3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  <c r="LH8" s="23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6"/>
      <c r="MT8" s="26"/>
      <c r="MU8" s="23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3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  <c r="PS8" s="26"/>
      <c r="PT8" s="26"/>
    </row>
    <row r="9" spans="1:436" ht="15.75" thickBot="1" x14ac:dyDescent="0.3">
      <c r="A9" s="24"/>
      <c r="B9" s="112"/>
      <c r="C9" s="121" t="s">
        <v>362</v>
      </c>
      <c r="D9" s="122" t="s">
        <v>364</v>
      </c>
      <c r="E9" s="125" t="s">
        <v>66</v>
      </c>
      <c r="F9" s="125" t="s">
        <v>104</v>
      </c>
      <c r="G9" s="24"/>
      <c r="H9" s="2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3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107"/>
      <c r="CH9" s="109"/>
      <c r="CI9" s="128">
        <v>11</v>
      </c>
      <c r="CJ9" s="129">
        <v>15</v>
      </c>
      <c r="CK9" s="108">
        <v>11</v>
      </c>
      <c r="CL9" s="82">
        <v>15</v>
      </c>
      <c r="CM9" s="128">
        <v>11</v>
      </c>
      <c r="CN9" s="129">
        <v>15</v>
      </c>
      <c r="CO9" s="108">
        <v>11</v>
      </c>
      <c r="CP9" s="82">
        <v>15</v>
      </c>
      <c r="CQ9" s="128">
        <v>11</v>
      </c>
      <c r="CR9" s="129">
        <v>15</v>
      </c>
      <c r="CS9" s="108">
        <v>11</v>
      </c>
      <c r="CT9" s="82">
        <v>15</v>
      </c>
      <c r="CU9" s="128">
        <v>11</v>
      </c>
      <c r="CV9" s="129">
        <v>15</v>
      </c>
      <c r="CW9" s="108">
        <v>11</v>
      </c>
      <c r="CX9" s="82">
        <v>15</v>
      </c>
      <c r="CY9" s="128">
        <v>11</v>
      </c>
      <c r="CZ9" s="129">
        <v>15</v>
      </c>
      <c r="DA9" s="108">
        <v>11</v>
      </c>
      <c r="DB9" s="82">
        <v>15</v>
      </c>
      <c r="DC9" s="128">
        <v>11</v>
      </c>
      <c r="DD9" s="129">
        <v>15</v>
      </c>
      <c r="DE9" s="108">
        <v>11</v>
      </c>
      <c r="DF9" s="82">
        <v>15</v>
      </c>
      <c r="DG9" s="128">
        <v>11</v>
      </c>
      <c r="DH9" s="129">
        <v>15</v>
      </c>
      <c r="DI9" s="108">
        <v>11</v>
      </c>
      <c r="DJ9" s="82">
        <v>15</v>
      </c>
      <c r="DK9" s="128">
        <v>11</v>
      </c>
      <c r="DL9" s="129">
        <v>15</v>
      </c>
      <c r="DM9" s="108">
        <v>11</v>
      </c>
      <c r="DN9" s="82">
        <v>15</v>
      </c>
      <c r="DO9" s="128">
        <v>11</v>
      </c>
      <c r="DP9" s="129">
        <v>15</v>
      </c>
      <c r="DQ9" s="108">
        <v>11</v>
      </c>
      <c r="DR9" s="82">
        <v>15</v>
      </c>
      <c r="DS9" s="128">
        <v>11</v>
      </c>
      <c r="DT9" s="129">
        <v>15</v>
      </c>
      <c r="DU9" s="109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3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3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3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3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6"/>
      <c r="LG9" s="26"/>
      <c r="LH9" s="23"/>
      <c r="LI9" s="26"/>
      <c r="LJ9" s="26"/>
      <c r="LK9" s="26"/>
      <c r="LL9" s="26"/>
      <c r="LM9" s="26"/>
      <c r="LN9" s="26"/>
      <c r="LO9" s="26"/>
      <c r="LP9" s="26"/>
      <c r="LQ9" s="26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6"/>
      <c r="MD9" s="26"/>
      <c r="ME9" s="26"/>
      <c r="MF9" s="26"/>
      <c r="MG9" s="26"/>
      <c r="MH9" s="26"/>
      <c r="MI9" s="26"/>
      <c r="MJ9" s="26"/>
      <c r="MK9" s="26"/>
      <c r="ML9" s="26"/>
      <c r="MM9" s="26"/>
      <c r="MN9" s="26"/>
      <c r="MO9" s="26"/>
      <c r="MP9" s="26"/>
      <c r="MQ9" s="26"/>
      <c r="MR9" s="26"/>
      <c r="MS9" s="26"/>
      <c r="MT9" s="26"/>
      <c r="MU9" s="23"/>
      <c r="MV9" s="26"/>
      <c r="MW9" s="26"/>
      <c r="MX9" s="26"/>
      <c r="MY9" s="26"/>
      <c r="MZ9" s="26"/>
      <c r="NA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6"/>
      <c r="OG9" s="26"/>
      <c r="OH9" s="23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  <c r="PS9" s="26"/>
      <c r="PT9" s="26"/>
    </row>
    <row r="10" spans="1:436" ht="15.75" thickBot="1" x14ac:dyDescent="0.3">
      <c r="A10" s="24"/>
      <c r="B10" s="112"/>
      <c r="C10" s="121" t="s">
        <v>362</v>
      </c>
      <c r="D10" s="122" t="s">
        <v>364</v>
      </c>
      <c r="E10" s="24"/>
      <c r="F10" s="24"/>
      <c r="G10" s="24"/>
      <c r="H10" s="2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3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107"/>
      <c r="CH10" s="109"/>
      <c r="CI10" s="128">
        <v>5</v>
      </c>
      <c r="CJ10" s="129">
        <v>7</v>
      </c>
      <c r="CK10" s="108">
        <v>5</v>
      </c>
      <c r="CL10" s="82">
        <v>7</v>
      </c>
      <c r="CM10" s="128">
        <v>5</v>
      </c>
      <c r="CN10" s="129">
        <v>7</v>
      </c>
      <c r="CO10" s="108">
        <v>5</v>
      </c>
      <c r="CP10" s="82">
        <v>7</v>
      </c>
      <c r="CQ10" s="128">
        <v>5</v>
      </c>
      <c r="CR10" s="129">
        <v>7</v>
      </c>
      <c r="CS10" s="108">
        <v>5</v>
      </c>
      <c r="CT10" s="82">
        <v>7</v>
      </c>
      <c r="CU10" s="128">
        <v>5</v>
      </c>
      <c r="CV10" s="129">
        <v>7</v>
      </c>
      <c r="CW10" s="108">
        <v>5</v>
      </c>
      <c r="CX10" s="82">
        <v>7</v>
      </c>
      <c r="CY10" s="128">
        <v>5</v>
      </c>
      <c r="CZ10" s="129">
        <v>7</v>
      </c>
      <c r="DA10" s="108">
        <v>5</v>
      </c>
      <c r="DB10" s="82">
        <v>7</v>
      </c>
      <c r="DC10" s="128">
        <v>5</v>
      </c>
      <c r="DD10" s="129">
        <v>7</v>
      </c>
      <c r="DE10" s="108">
        <v>5</v>
      </c>
      <c r="DF10" s="82">
        <v>7</v>
      </c>
      <c r="DG10" s="128">
        <v>5</v>
      </c>
      <c r="DH10" s="129">
        <v>7</v>
      </c>
      <c r="DI10" s="108">
        <v>5</v>
      </c>
      <c r="DJ10" s="82">
        <v>7</v>
      </c>
      <c r="DK10" s="128">
        <v>5</v>
      </c>
      <c r="DL10" s="129">
        <v>7</v>
      </c>
      <c r="DM10" s="108">
        <v>5</v>
      </c>
      <c r="DN10" s="82">
        <v>7</v>
      </c>
      <c r="DO10" s="128">
        <v>5</v>
      </c>
      <c r="DP10" s="129">
        <v>7</v>
      </c>
      <c r="DQ10" s="108">
        <v>5</v>
      </c>
      <c r="DR10" s="82">
        <v>7</v>
      </c>
      <c r="DS10" s="128">
        <v>5</v>
      </c>
      <c r="DT10" s="129">
        <v>7</v>
      </c>
      <c r="DU10" s="109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3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3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3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3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6"/>
      <c r="LG10" s="26"/>
      <c r="LH10" s="23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6"/>
      <c r="MT10" s="26"/>
      <c r="MU10" s="23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3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</row>
    <row r="11" spans="1:436" ht="15.75" thickBot="1" x14ac:dyDescent="0.3">
      <c r="A11" s="24"/>
      <c r="B11" s="112" t="s">
        <v>356</v>
      </c>
      <c r="C11" s="112"/>
      <c r="D11" s="122" t="s">
        <v>364</v>
      </c>
      <c r="E11" s="24"/>
      <c r="F11" s="24"/>
      <c r="G11" s="24"/>
      <c r="H11" s="2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3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107"/>
      <c r="CH11" s="109"/>
      <c r="CI11" s="128">
        <v>7</v>
      </c>
      <c r="CJ11" s="129">
        <v>14</v>
      </c>
      <c r="CK11" s="108">
        <v>7</v>
      </c>
      <c r="CL11" s="82">
        <v>14</v>
      </c>
      <c r="CM11" s="128">
        <v>7</v>
      </c>
      <c r="CN11" s="129">
        <v>14</v>
      </c>
      <c r="CO11" s="108">
        <v>7</v>
      </c>
      <c r="CP11" s="82">
        <v>14</v>
      </c>
      <c r="CQ11" s="128">
        <v>7</v>
      </c>
      <c r="CR11" s="129">
        <v>14</v>
      </c>
      <c r="CS11" s="108">
        <v>7</v>
      </c>
      <c r="CT11" s="82">
        <v>14</v>
      </c>
      <c r="CU11" s="128">
        <v>7</v>
      </c>
      <c r="CV11" s="129">
        <v>14</v>
      </c>
      <c r="CW11" s="108">
        <v>7</v>
      </c>
      <c r="CX11" s="82">
        <v>14</v>
      </c>
      <c r="CY11" s="128">
        <v>7</v>
      </c>
      <c r="CZ11" s="129">
        <v>14</v>
      </c>
      <c r="DA11" s="108">
        <v>7</v>
      </c>
      <c r="DB11" s="82">
        <v>14</v>
      </c>
      <c r="DC11" s="128">
        <v>7</v>
      </c>
      <c r="DD11" s="129">
        <v>14</v>
      </c>
      <c r="DE11" s="108">
        <v>7</v>
      </c>
      <c r="DF11" s="82">
        <v>14</v>
      </c>
      <c r="DG11" s="128">
        <v>7</v>
      </c>
      <c r="DH11" s="129">
        <v>14</v>
      </c>
      <c r="DI11" s="108">
        <v>7</v>
      </c>
      <c r="DJ11" s="82">
        <v>14</v>
      </c>
      <c r="DK11" s="128">
        <v>7</v>
      </c>
      <c r="DL11" s="129">
        <v>14</v>
      </c>
      <c r="DM11" s="108">
        <v>7</v>
      </c>
      <c r="DN11" s="82">
        <v>14</v>
      </c>
      <c r="DO11" s="128">
        <v>7</v>
      </c>
      <c r="DP11" s="129">
        <v>14</v>
      </c>
      <c r="DQ11" s="108">
        <v>7</v>
      </c>
      <c r="DR11" s="82">
        <v>14</v>
      </c>
      <c r="DS11" s="128">
        <v>7</v>
      </c>
      <c r="DT11" s="129">
        <v>14</v>
      </c>
      <c r="DU11" s="109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3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3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3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3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3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3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3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</row>
    <row r="12" spans="1:436" ht="15.75" thickBot="1" x14ac:dyDescent="0.3">
      <c r="A12" s="24"/>
      <c r="B12" s="25"/>
      <c r="C12" s="121" t="s">
        <v>362</v>
      </c>
      <c r="D12" s="122" t="s">
        <v>364</v>
      </c>
      <c r="E12" s="24"/>
      <c r="F12" s="24"/>
      <c r="G12" s="24"/>
      <c r="H12" s="2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3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107"/>
      <c r="CH12" s="109"/>
      <c r="CI12" s="128">
        <v>9</v>
      </c>
      <c r="CJ12" s="129">
        <v>11</v>
      </c>
      <c r="CK12" s="108">
        <v>9</v>
      </c>
      <c r="CL12" s="82">
        <v>11</v>
      </c>
      <c r="CM12" s="128">
        <v>9</v>
      </c>
      <c r="CN12" s="129">
        <v>11</v>
      </c>
      <c r="CO12" s="108">
        <v>9</v>
      </c>
      <c r="CP12" s="82">
        <v>11</v>
      </c>
      <c r="CQ12" s="128">
        <v>9</v>
      </c>
      <c r="CR12" s="129">
        <v>11</v>
      </c>
      <c r="CS12" s="108">
        <v>9</v>
      </c>
      <c r="CT12" s="82">
        <v>11</v>
      </c>
      <c r="CU12" s="128">
        <v>9</v>
      </c>
      <c r="CV12" s="129">
        <v>11</v>
      </c>
      <c r="CW12" s="108">
        <v>9</v>
      </c>
      <c r="CX12" s="82">
        <v>11</v>
      </c>
      <c r="CY12" s="128">
        <v>9</v>
      </c>
      <c r="CZ12" s="129">
        <v>11</v>
      </c>
      <c r="DA12" s="108">
        <v>9</v>
      </c>
      <c r="DB12" s="82">
        <v>11</v>
      </c>
      <c r="DC12" s="128">
        <v>9</v>
      </c>
      <c r="DD12" s="129">
        <v>11</v>
      </c>
      <c r="DE12" s="108">
        <v>9</v>
      </c>
      <c r="DF12" s="82">
        <v>11</v>
      </c>
      <c r="DG12" s="128">
        <v>9</v>
      </c>
      <c r="DH12" s="129">
        <v>11</v>
      </c>
      <c r="DI12" s="108">
        <v>9</v>
      </c>
      <c r="DJ12" s="82">
        <v>11</v>
      </c>
      <c r="DK12" s="128">
        <v>9</v>
      </c>
      <c r="DL12" s="129">
        <v>11</v>
      </c>
      <c r="DM12" s="108">
        <v>9</v>
      </c>
      <c r="DN12" s="82">
        <v>11</v>
      </c>
      <c r="DO12" s="128">
        <v>9</v>
      </c>
      <c r="DP12" s="129">
        <v>11</v>
      </c>
      <c r="DQ12" s="108">
        <v>9</v>
      </c>
      <c r="DR12" s="82">
        <v>11</v>
      </c>
      <c r="DS12" s="128">
        <v>9</v>
      </c>
      <c r="DT12" s="129">
        <v>11</v>
      </c>
      <c r="DU12" s="109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3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3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3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3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3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3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3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</row>
    <row r="13" spans="1:436" ht="15.75" thickBot="1" x14ac:dyDescent="0.3">
      <c r="A13" s="24"/>
      <c r="B13" s="112" t="s">
        <v>356</v>
      </c>
      <c r="C13" s="112"/>
      <c r="D13" s="122" t="s">
        <v>364</v>
      </c>
      <c r="E13" s="24"/>
      <c r="F13" s="24"/>
      <c r="G13" s="24"/>
      <c r="H13" s="2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3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107"/>
      <c r="CH13" s="109"/>
      <c r="CI13" s="128">
        <v>2</v>
      </c>
      <c r="CJ13" s="129">
        <v>4</v>
      </c>
      <c r="CK13" s="108">
        <v>2</v>
      </c>
      <c r="CL13" s="82">
        <v>4</v>
      </c>
      <c r="CM13" s="128">
        <v>2</v>
      </c>
      <c r="CN13" s="129">
        <v>4</v>
      </c>
      <c r="CO13" s="108">
        <v>2</v>
      </c>
      <c r="CP13" s="82">
        <v>4</v>
      </c>
      <c r="CQ13" s="128">
        <v>2</v>
      </c>
      <c r="CR13" s="129">
        <v>4</v>
      </c>
      <c r="CS13" s="108">
        <v>2</v>
      </c>
      <c r="CT13" s="82">
        <v>4</v>
      </c>
      <c r="CU13" s="128">
        <v>2</v>
      </c>
      <c r="CV13" s="129">
        <v>4</v>
      </c>
      <c r="CW13" s="108">
        <v>2</v>
      </c>
      <c r="CX13" s="82">
        <v>4</v>
      </c>
      <c r="CY13" s="128">
        <v>2</v>
      </c>
      <c r="CZ13" s="129">
        <v>4</v>
      </c>
      <c r="DA13" s="108">
        <v>2</v>
      </c>
      <c r="DB13" s="82">
        <v>4</v>
      </c>
      <c r="DC13" s="128">
        <v>2</v>
      </c>
      <c r="DD13" s="129">
        <v>4</v>
      </c>
      <c r="DE13" s="108">
        <v>2</v>
      </c>
      <c r="DF13" s="82">
        <v>4</v>
      </c>
      <c r="DG13" s="128">
        <v>2</v>
      </c>
      <c r="DH13" s="129">
        <v>4</v>
      </c>
      <c r="DI13" s="108">
        <v>2</v>
      </c>
      <c r="DJ13" s="82">
        <v>4</v>
      </c>
      <c r="DK13" s="128">
        <v>2</v>
      </c>
      <c r="DL13" s="129">
        <v>4</v>
      </c>
      <c r="DM13" s="108">
        <v>2</v>
      </c>
      <c r="DN13" s="82">
        <v>4</v>
      </c>
      <c r="DO13" s="128">
        <v>2</v>
      </c>
      <c r="DP13" s="129">
        <v>4</v>
      </c>
      <c r="DQ13" s="108">
        <v>2</v>
      </c>
      <c r="DR13" s="82">
        <v>4</v>
      </c>
      <c r="DS13" s="128">
        <v>2</v>
      </c>
      <c r="DT13" s="129">
        <v>4</v>
      </c>
      <c r="DU13" s="109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3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3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3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3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6"/>
      <c r="LG13" s="26"/>
      <c r="LH13" s="23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6"/>
      <c r="MT13" s="26"/>
      <c r="MU13" s="23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6"/>
      <c r="OG13" s="26"/>
      <c r="OH13" s="23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  <c r="PS13" s="26"/>
      <c r="PT13" s="26"/>
    </row>
    <row r="14" spans="1:436" ht="15.75" thickBot="1" x14ac:dyDescent="0.3">
      <c r="A14" s="24"/>
      <c r="B14" s="25"/>
      <c r="C14" s="121" t="s">
        <v>362</v>
      </c>
      <c r="D14" s="122" t="s">
        <v>364</v>
      </c>
      <c r="E14" s="24"/>
      <c r="F14" s="24"/>
      <c r="G14" s="24"/>
      <c r="H14" s="2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3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107"/>
      <c r="CH14" s="109"/>
      <c r="CI14" s="126">
        <v>5.1428571428571397</v>
      </c>
      <c r="CJ14" s="127">
        <v>7.4285714285714297</v>
      </c>
      <c r="CK14" s="116">
        <v>5.1428571428571397</v>
      </c>
      <c r="CL14" s="117">
        <v>7.4285714285714297</v>
      </c>
      <c r="CM14" s="126">
        <v>5.1428571428571397</v>
      </c>
      <c r="CN14" s="127">
        <v>7.4285714285714297</v>
      </c>
      <c r="CO14" s="116">
        <v>5.1428571428571397</v>
      </c>
      <c r="CP14" s="117">
        <v>7.4285714285714297</v>
      </c>
      <c r="CQ14" s="126">
        <v>5.1428571428571397</v>
      </c>
      <c r="CR14" s="127">
        <v>7.4285714285714297</v>
      </c>
      <c r="CS14" s="116">
        <v>5.1428571428571397</v>
      </c>
      <c r="CT14" s="117">
        <v>7.4285714285714297</v>
      </c>
      <c r="CU14" s="126">
        <v>5.1428571428571397</v>
      </c>
      <c r="CV14" s="127">
        <v>7.4285714285714297</v>
      </c>
      <c r="CW14" s="116">
        <v>5.1428571428571397</v>
      </c>
      <c r="CX14" s="117">
        <v>7.4285714285714297</v>
      </c>
      <c r="CY14" s="126">
        <v>5.1428571428571397</v>
      </c>
      <c r="CZ14" s="127">
        <v>7.4285714285714297</v>
      </c>
      <c r="DA14" s="116">
        <v>5.1428571428571397</v>
      </c>
      <c r="DB14" s="117">
        <v>7.4285714285714297</v>
      </c>
      <c r="DC14" s="126">
        <v>5.1428571428571397</v>
      </c>
      <c r="DD14" s="127">
        <v>7.4285714285714297</v>
      </c>
      <c r="DE14" s="116">
        <v>5.1428571428571397</v>
      </c>
      <c r="DF14" s="117">
        <v>7.4285714285714297</v>
      </c>
      <c r="DG14" s="126">
        <v>5.1428571428571397</v>
      </c>
      <c r="DH14" s="127">
        <v>7.4285714285714297</v>
      </c>
      <c r="DI14" s="116">
        <v>5.1428571428571397</v>
      </c>
      <c r="DJ14" s="117">
        <v>7.4285714285714297</v>
      </c>
      <c r="DK14" s="126">
        <v>5.1428571428571397</v>
      </c>
      <c r="DL14" s="127">
        <v>7.4285714285714297</v>
      </c>
      <c r="DM14" s="116">
        <v>5.1428571428571397</v>
      </c>
      <c r="DN14" s="117">
        <v>7.4285714285714297</v>
      </c>
      <c r="DO14" s="126">
        <v>5.1428571428571397</v>
      </c>
      <c r="DP14" s="127">
        <v>7.4285714285714297</v>
      </c>
      <c r="DQ14" s="116">
        <v>5.1428571428571397</v>
      </c>
      <c r="DR14" s="117">
        <v>7.4285714285714297</v>
      </c>
      <c r="DS14" s="126">
        <v>5.1428571428571397</v>
      </c>
      <c r="DT14" s="127">
        <v>7.4285714285714297</v>
      </c>
      <c r="DU14" s="109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3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3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3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3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6"/>
      <c r="LH14" s="23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6"/>
      <c r="MT14" s="26"/>
      <c r="MU14" s="23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6"/>
      <c r="OG14" s="26"/>
      <c r="OH14" s="23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  <c r="PS14" s="26"/>
      <c r="PT14" s="26"/>
    </row>
    <row r="15" spans="1:436" ht="15.75" thickBot="1" x14ac:dyDescent="0.3">
      <c r="A15" s="24"/>
      <c r="B15" s="112" t="s">
        <v>356</v>
      </c>
      <c r="C15" s="112"/>
      <c r="D15" s="122" t="s">
        <v>364</v>
      </c>
      <c r="E15" s="24"/>
      <c r="F15" s="24"/>
      <c r="G15" s="24"/>
      <c r="H15" s="2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3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107"/>
      <c r="CH15" s="109"/>
      <c r="CI15" s="128">
        <v>4.6785714285714297</v>
      </c>
      <c r="CJ15" s="129">
        <v>6.53571428571429</v>
      </c>
      <c r="CK15" s="108">
        <v>4.6785714285714297</v>
      </c>
      <c r="CL15" s="82">
        <v>6.53571428571429</v>
      </c>
      <c r="CM15" s="128">
        <v>4.6785714285714297</v>
      </c>
      <c r="CN15" s="129">
        <v>6.53571428571429</v>
      </c>
      <c r="CO15" s="108">
        <v>4.6785714285714297</v>
      </c>
      <c r="CP15" s="82">
        <v>6.53571428571429</v>
      </c>
      <c r="CQ15" s="128">
        <v>4.6785714285714297</v>
      </c>
      <c r="CR15" s="129">
        <v>6.53571428571429</v>
      </c>
      <c r="CS15" s="108">
        <v>4.6785714285714297</v>
      </c>
      <c r="CT15" s="82">
        <v>6.53571428571429</v>
      </c>
      <c r="CU15" s="128">
        <v>4.6785714285714297</v>
      </c>
      <c r="CV15" s="129">
        <v>6.53571428571429</v>
      </c>
      <c r="CW15" s="108">
        <v>4.6785714285714297</v>
      </c>
      <c r="CX15" s="82">
        <v>6.53571428571429</v>
      </c>
      <c r="CY15" s="128">
        <v>4.6785714285714297</v>
      </c>
      <c r="CZ15" s="129">
        <v>6.53571428571429</v>
      </c>
      <c r="DA15" s="108">
        <v>4.6785714285714297</v>
      </c>
      <c r="DB15" s="82">
        <v>6.53571428571429</v>
      </c>
      <c r="DC15" s="128">
        <v>4.6785714285714297</v>
      </c>
      <c r="DD15" s="129">
        <v>6.53571428571429</v>
      </c>
      <c r="DE15" s="108">
        <v>4.6785714285714297</v>
      </c>
      <c r="DF15" s="82">
        <v>6.53571428571429</v>
      </c>
      <c r="DG15" s="128">
        <v>4.6785714285714297</v>
      </c>
      <c r="DH15" s="129">
        <v>6.53571428571429</v>
      </c>
      <c r="DI15" s="108">
        <v>4.6785714285714297</v>
      </c>
      <c r="DJ15" s="82">
        <v>6.53571428571429</v>
      </c>
      <c r="DK15" s="128">
        <v>4.6785714285714297</v>
      </c>
      <c r="DL15" s="129">
        <v>6.53571428571429</v>
      </c>
      <c r="DM15" s="108">
        <v>4.6785714285714297</v>
      </c>
      <c r="DN15" s="82">
        <v>6.53571428571429</v>
      </c>
      <c r="DO15" s="128">
        <v>4.6785714285714297</v>
      </c>
      <c r="DP15" s="129">
        <v>6.53571428571429</v>
      </c>
      <c r="DQ15" s="108">
        <v>4.6785714285714297</v>
      </c>
      <c r="DR15" s="82">
        <v>6.53571428571429</v>
      </c>
      <c r="DS15" s="128">
        <v>4.6785714285714297</v>
      </c>
      <c r="DT15" s="129">
        <v>6.53571428571429</v>
      </c>
      <c r="DU15" s="109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3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3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3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3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3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3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6"/>
      <c r="OG15" s="26"/>
      <c r="OH15" s="23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  <c r="PS15" s="26"/>
      <c r="PT15" s="26"/>
    </row>
    <row r="16" spans="1:436" ht="15.75" thickBot="1" x14ac:dyDescent="0.3">
      <c r="A16" s="24"/>
      <c r="B16" s="25"/>
      <c r="C16" s="121" t="s">
        <v>362</v>
      </c>
      <c r="D16" s="122" t="s">
        <v>364</v>
      </c>
      <c r="E16" s="24"/>
      <c r="F16" s="24"/>
      <c r="G16" s="24"/>
      <c r="H16" s="2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3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107"/>
      <c r="CH16" s="109"/>
      <c r="CI16" s="128">
        <v>4.21428571428571</v>
      </c>
      <c r="CJ16" s="129">
        <v>5.6428571428571503</v>
      </c>
      <c r="CK16" s="108">
        <v>4.21428571428571</v>
      </c>
      <c r="CL16" s="82">
        <v>5.6428571428571503</v>
      </c>
      <c r="CM16" s="128">
        <v>4.21428571428571</v>
      </c>
      <c r="CN16" s="129">
        <v>5.6428571428571503</v>
      </c>
      <c r="CO16" s="108">
        <v>4.21428571428571</v>
      </c>
      <c r="CP16" s="82">
        <v>5.6428571428571503</v>
      </c>
      <c r="CQ16" s="128">
        <v>4.21428571428571</v>
      </c>
      <c r="CR16" s="129">
        <v>5.6428571428571503</v>
      </c>
      <c r="CS16" s="108">
        <v>4.21428571428571</v>
      </c>
      <c r="CT16" s="82">
        <v>5.6428571428571503</v>
      </c>
      <c r="CU16" s="128">
        <v>4.21428571428571</v>
      </c>
      <c r="CV16" s="129">
        <v>5.6428571428571503</v>
      </c>
      <c r="CW16" s="108">
        <v>4.21428571428571</v>
      </c>
      <c r="CX16" s="82">
        <v>5.6428571428571503</v>
      </c>
      <c r="CY16" s="128">
        <v>4.21428571428571</v>
      </c>
      <c r="CZ16" s="129">
        <v>5.6428571428571503</v>
      </c>
      <c r="DA16" s="108">
        <v>4.21428571428571</v>
      </c>
      <c r="DB16" s="82">
        <v>5.6428571428571503</v>
      </c>
      <c r="DC16" s="128">
        <v>4.21428571428571</v>
      </c>
      <c r="DD16" s="129">
        <v>5.6428571428571503</v>
      </c>
      <c r="DE16" s="108">
        <v>4.21428571428571</v>
      </c>
      <c r="DF16" s="82">
        <v>5.6428571428571503</v>
      </c>
      <c r="DG16" s="128">
        <v>4.21428571428571</v>
      </c>
      <c r="DH16" s="129">
        <v>5.6428571428571503</v>
      </c>
      <c r="DI16" s="108">
        <v>4.21428571428571</v>
      </c>
      <c r="DJ16" s="82">
        <v>5.6428571428571503</v>
      </c>
      <c r="DK16" s="128">
        <v>4.21428571428571</v>
      </c>
      <c r="DL16" s="129">
        <v>5.6428571428571503</v>
      </c>
      <c r="DM16" s="108">
        <v>4.21428571428571</v>
      </c>
      <c r="DN16" s="82">
        <v>5.6428571428571503</v>
      </c>
      <c r="DO16" s="128">
        <v>4.21428571428571</v>
      </c>
      <c r="DP16" s="129">
        <v>5.6428571428571503</v>
      </c>
      <c r="DQ16" s="108">
        <v>4.21428571428571</v>
      </c>
      <c r="DR16" s="82">
        <v>5.6428571428571503</v>
      </c>
      <c r="DS16" s="128">
        <v>4.21428571428571</v>
      </c>
      <c r="DT16" s="129">
        <v>5.6428571428571503</v>
      </c>
      <c r="DU16" s="109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3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3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3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3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6"/>
      <c r="LG16" s="26"/>
      <c r="LH16" s="23"/>
      <c r="LI16" s="26"/>
      <c r="LJ16" s="26"/>
      <c r="LK16" s="26"/>
      <c r="LL16" s="26"/>
      <c r="LM16" s="26"/>
      <c r="LN16" s="26"/>
      <c r="LO16" s="26"/>
      <c r="LP16" s="26"/>
      <c r="LQ16" s="26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26"/>
      <c r="MD16" s="26"/>
      <c r="ME16" s="26"/>
      <c r="MF16" s="26"/>
      <c r="MG16" s="26"/>
      <c r="MH16" s="26"/>
      <c r="MI16" s="26"/>
      <c r="MJ16" s="26"/>
      <c r="MK16" s="26"/>
      <c r="ML16" s="26"/>
      <c r="MM16" s="26"/>
      <c r="MN16" s="26"/>
      <c r="MO16" s="26"/>
      <c r="MP16" s="26"/>
      <c r="MQ16" s="26"/>
      <c r="MR16" s="26"/>
      <c r="MS16" s="26"/>
      <c r="MT16" s="26"/>
      <c r="MU16" s="23"/>
      <c r="MV16" s="26"/>
      <c r="MW16" s="26"/>
      <c r="MX16" s="26"/>
      <c r="MY16" s="26"/>
      <c r="MZ16" s="26"/>
      <c r="NA16" s="26"/>
      <c r="NB16" s="26"/>
      <c r="NC16" s="26"/>
      <c r="ND16" s="26"/>
      <c r="NE16" s="26"/>
      <c r="NF16" s="26"/>
      <c r="NG16" s="26"/>
      <c r="NH16" s="26"/>
      <c r="NI16" s="26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6"/>
      <c r="OG16" s="26"/>
      <c r="OH16" s="23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  <c r="PS16" s="26"/>
      <c r="PT16" s="26"/>
    </row>
    <row r="17" spans="1:436" ht="15.75" thickBot="1" x14ac:dyDescent="0.3">
      <c r="A17" s="24"/>
      <c r="B17" s="112" t="s">
        <v>356</v>
      </c>
      <c r="C17" s="112"/>
      <c r="D17" s="122" t="s">
        <v>364</v>
      </c>
      <c r="E17" s="24"/>
      <c r="F17" s="24"/>
      <c r="G17" s="24"/>
      <c r="H17" s="2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3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107"/>
      <c r="CH17" s="109"/>
      <c r="CI17" s="128">
        <v>3.75</v>
      </c>
      <c r="CJ17" s="129">
        <v>4.75</v>
      </c>
      <c r="CK17" s="108">
        <v>3.75</v>
      </c>
      <c r="CL17" s="82">
        <v>4.75</v>
      </c>
      <c r="CM17" s="128">
        <v>3.75</v>
      </c>
      <c r="CN17" s="129">
        <v>4.75</v>
      </c>
      <c r="CO17" s="108">
        <v>3.75</v>
      </c>
      <c r="CP17" s="82">
        <v>4.75</v>
      </c>
      <c r="CQ17" s="128">
        <v>3.75</v>
      </c>
      <c r="CR17" s="129">
        <v>4.75</v>
      </c>
      <c r="CS17" s="108">
        <v>3.75</v>
      </c>
      <c r="CT17" s="82">
        <v>4.75</v>
      </c>
      <c r="CU17" s="128">
        <v>3.75</v>
      </c>
      <c r="CV17" s="129">
        <v>4.75</v>
      </c>
      <c r="CW17" s="108">
        <v>3.75</v>
      </c>
      <c r="CX17" s="82">
        <v>4.75</v>
      </c>
      <c r="CY17" s="128">
        <v>3.75</v>
      </c>
      <c r="CZ17" s="129">
        <v>4.75</v>
      </c>
      <c r="DA17" s="108">
        <v>3.75</v>
      </c>
      <c r="DB17" s="82">
        <v>4.75</v>
      </c>
      <c r="DC17" s="128">
        <v>3.75</v>
      </c>
      <c r="DD17" s="129">
        <v>4.75</v>
      </c>
      <c r="DE17" s="108">
        <v>3.75</v>
      </c>
      <c r="DF17" s="82">
        <v>4.75</v>
      </c>
      <c r="DG17" s="128">
        <v>3.75</v>
      </c>
      <c r="DH17" s="129">
        <v>4.75</v>
      </c>
      <c r="DI17" s="108">
        <v>3.75</v>
      </c>
      <c r="DJ17" s="82">
        <v>4.75</v>
      </c>
      <c r="DK17" s="128">
        <v>3.75</v>
      </c>
      <c r="DL17" s="129">
        <v>4.75</v>
      </c>
      <c r="DM17" s="108">
        <v>3.75</v>
      </c>
      <c r="DN17" s="82">
        <v>4.75</v>
      </c>
      <c r="DO17" s="128">
        <v>3.75</v>
      </c>
      <c r="DP17" s="129">
        <v>4.75</v>
      </c>
      <c r="DQ17" s="108">
        <v>3.75</v>
      </c>
      <c r="DR17" s="82">
        <v>4.75</v>
      </c>
      <c r="DS17" s="128">
        <v>3.75</v>
      </c>
      <c r="DT17" s="129">
        <v>4.75</v>
      </c>
      <c r="DU17" s="109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3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3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3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3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3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3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3"/>
      <c r="OI17" s="26"/>
      <c r="OJ17" s="26"/>
      <c r="OK17" s="26"/>
      <c r="OL17" s="26"/>
      <c r="OM17" s="26"/>
      <c r="ON17" s="26"/>
      <c r="OO17" s="26"/>
      <c r="OP17" s="26"/>
      <c r="OQ17" s="26"/>
      <c r="OR17" s="26"/>
      <c r="OS17" s="26"/>
      <c r="OT17" s="26"/>
      <c r="OU17" s="26"/>
      <c r="OV17" s="26"/>
      <c r="OW17" s="26"/>
      <c r="OX17" s="26"/>
      <c r="OY17" s="26"/>
      <c r="OZ17" s="26"/>
      <c r="PA17" s="26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</row>
    <row r="18" spans="1:436" ht="15.75" thickBot="1" x14ac:dyDescent="0.3">
      <c r="A18" s="24"/>
      <c r="B18" s="25"/>
      <c r="C18" s="121" t="s">
        <v>362</v>
      </c>
      <c r="D18" s="122" t="s">
        <v>364</v>
      </c>
      <c r="E18" s="24"/>
      <c r="F18" s="24"/>
      <c r="G18" s="24"/>
      <c r="H18" s="2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3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107"/>
      <c r="CH18" s="109"/>
      <c r="CI18" s="128">
        <v>3.2857142857142798</v>
      </c>
      <c r="CJ18" s="129">
        <v>3.8571428571428599</v>
      </c>
      <c r="CK18" s="108">
        <v>3.2857142857142798</v>
      </c>
      <c r="CL18" s="82">
        <v>3.8571428571428599</v>
      </c>
      <c r="CM18" s="128">
        <v>3.2857142857142798</v>
      </c>
      <c r="CN18" s="129">
        <v>3.8571428571428599</v>
      </c>
      <c r="CO18" s="108">
        <v>3.2857142857142798</v>
      </c>
      <c r="CP18" s="82">
        <v>3.8571428571428599</v>
      </c>
      <c r="CQ18" s="128">
        <v>3.2857142857142798</v>
      </c>
      <c r="CR18" s="129">
        <v>3.8571428571428599</v>
      </c>
      <c r="CS18" s="108">
        <v>3.2857142857142798</v>
      </c>
      <c r="CT18" s="82">
        <v>3.8571428571428599</v>
      </c>
      <c r="CU18" s="128">
        <v>3.2857142857142798</v>
      </c>
      <c r="CV18" s="129">
        <v>3.8571428571428599</v>
      </c>
      <c r="CW18" s="108">
        <v>3.2857142857142798</v>
      </c>
      <c r="CX18" s="82">
        <v>3.8571428571428599</v>
      </c>
      <c r="CY18" s="128">
        <v>3.2857142857142798</v>
      </c>
      <c r="CZ18" s="129">
        <v>3.8571428571428599</v>
      </c>
      <c r="DA18" s="108">
        <v>3.2857142857142798</v>
      </c>
      <c r="DB18" s="82">
        <v>3.8571428571428599</v>
      </c>
      <c r="DC18" s="128">
        <v>3.2857142857142798</v>
      </c>
      <c r="DD18" s="129">
        <v>3.8571428571428599</v>
      </c>
      <c r="DE18" s="108">
        <v>3.2857142857142798</v>
      </c>
      <c r="DF18" s="82">
        <v>3.8571428571428599</v>
      </c>
      <c r="DG18" s="128">
        <v>3.2857142857142798</v>
      </c>
      <c r="DH18" s="129">
        <v>3.8571428571428599</v>
      </c>
      <c r="DI18" s="108">
        <v>3.2857142857142798</v>
      </c>
      <c r="DJ18" s="82">
        <v>3.8571428571428599</v>
      </c>
      <c r="DK18" s="128">
        <v>3.2857142857142798</v>
      </c>
      <c r="DL18" s="129">
        <v>3.8571428571428599</v>
      </c>
      <c r="DM18" s="108">
        <v>3.2857142857142798</v>
      </c>
      <c r="DN18" s="82">
        <v>3.8571428571428599</v>
      </c>
      <c r="DO18" s="128">
        <v>3.2857142857142798</v>
      </c>
      <c r="DP18" s="129">
        <v>3.8571428571428599</v>
      </c>
      <c r="DQ18" s="108">
        <v>3.2857142857142798</v>
      </c>
      <c r="DR18" s="82">
        <v>3.8571428571428599</v>
      </c>
      <c r="DS18" s="128">
        <v>3.2857142857142798</v>
      </c>
      <c r="DT18" s="129">
        <v>3.8571428571428599</v>
      </c>
      <c r="DU18" s="109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3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3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3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3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3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3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3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</row>
    <row r="19" spans="1:436" ht="15.75" thickBot="1" x14ac:dyDescent="0.3">
      <c r="A19" s="24"/>
      <c r="B19" s="25"/>
      <c r="C19" s="25"/>
      <c r="D19" s="122" t="s">
        <v>364</v>
      </c>
      <c r="E19" s="24"/>
      <c r="F19" s="24"/>
      <c r="G19" s="24"/>
      <c r="H19" s="23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3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107"/>
      <c r="CH19" s="109"/>
      <c r="CI19" s="128">
        <v>2.8214285714285698</v>
      </c>
      <c r="CJ19" s="129">
        <v>2.96428571428573</v>
      </c>
      <c r="CK19" s="108">
        <v>2.8214285714285698</v>
      </c>
      <c r="CL19" s="82">
        <v>2.96428571428573</v>
      </c>
      <c r="CM19" s="128">
        <v>2.8214285714285698</v>
      </c>
      <c r="CN19" s="129">
        <v>2.96428571428573</v>
      </c>
      <c r="CO19" s="108">
        <v>2.8214285714285698</v>
      </c>
      <c r="CP19" s="82">
        <v>2.96428571428573</v>
      </c>
      <c r="CQ19" s="128">
        <v>2.8214285714285698</v>
      </c>
      <c r="CR19" s="129">
        <v>2.96428571428573</v>
      </c>
      <c r="CS19" s="108">
        <v>2.8214285714285698</v>
      </c>
      <c r="CT19" s="82">
        <v>2.96428571428573</v>
      </c>
      <c r="CU19" s="128">
        <v>2.8214285714285698</v>
      </c>
      <c r="CV19" s="129">
        <v>2.96428571428573</v>
      </c>
      <c r="CW19" s="108">
        <v>2.8214285714285698</v>
      </c>
      <c r="CX19" s="82">
        <v>2.96428571428573</v>
      </c>
      <c r="CY19" s="128">
        <v>2.8214285714285698</v>
      </c>
      <c r="CZ19" s="129">
        <v>2.96428571428573</v>
      </c>
      <c r="DA19" s="108">
        <v>2.8214285714285698</v>
      </c>
      <c r="DB19" s="82">
        <v>2.96428571428573</v>
      </c>
      <c r="DC19" s="128">
        <v>2.8214285714285698</v>
      </c>
      <c r="DD19" s="129">
        <v>2.96428571428573</v>
      </c>
      <c r="DE19" s="108">
        <v>2.8214285714285698</v>
      </c>
      <c r="DF19" s="82">
        <v>2.96428571428573</v>
      </c>
      <c r="DG19" s="128">
        <v>2.8214285714285698</v>
      </c>
      <c r="DH19" s="129">
        <v>2.96428571428573</v>
      </c>
      <c r="DI19" s="108">
        <v>2.8214285714285698</v>
      </c>
      <c r="DJ19" s="82">
        <v>2.96428571428573</v>
      </c>
      <c r="DK19" s="128">
        <v>2.8214285714285698</v>
      </c>
      <c r="DL19" s="129">
        <v>2.96428571428573</v>
      </c>
      <c r="DM19" s="108">
        <v>2.8214285714285698</v>
      </c>
      <c r="DN19" s="82">
        <v>2.96428571428573</v>
      </c>
      <c r="DO19" s="128">
        <v>2.8214285714285698</v>
      </c>
      <c r="DP19" s="129">
        <v>2.96428571428573</v>
      </c>
      <c r="DQ19" s="108">
        <v>2.8214285714285698</v>
      </c>
      <c r="DR19" s="82">
        <v>2.96428571428573</v>
      </c>
      <c r="DS19" s="128">
        <v>2.8214285714285698</v>
      </c>
      <c r="DT19" s="129">
        <v>2.96428571428573</v>
      </c>
      <c r="DU19" s="109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3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3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3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3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3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3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3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  <c r="PS19" s="26"/>
      <c r="PT19" s="26"/>
    </row>
    <row r="20" spans="1:436" ht="21.95" customHeight="1" thickBot="1" x14ac:dyDescent="0.3">
      <c r="A20" s="87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102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  <c r="FU20" s="88"/>
      <c r="FV20" s="88"/>
      <c r="FW20" s="88"/>
      <c r="FX20" s="88"/>
      <c r="FY20" s="88"/>
      <c r="FZ20" s="88"/>
      <c r="GA20" s="88"/>
      <c r="GB20" s="88"/>
      <c r="GC20" s="88"/>
      <c r="GD20" s="88"/>
      <c r="GE20" s="88"/>
      <c r="GF20" s="88"/>
      <c r="GG20" s="88"/>
      <c r="GH20" s="88"/>
      <c r="GI20" s="88"/>
      <c r="GJ20" s="88"/>
      <c r="GK20" s="88"/>
      <c r="GL20" s="88"/>
      <c r="GM20" s="88"/>
      <c r="GN20" s="88"/>
      <c r="GO20" s="88"/>
      <c r="GP20" s="88"/>
      <c r="GQ20" s="88"/>
      <c r="GR20" s="88"/>
      <c r="GS20" s="88"/>
      <c r="GT20" s="88"/>
      <c r="GU20" s="88"/>
      <c r="GV20" s="88"/>
      <c r="GW20" s="88"/>
      <c r="GX20" s="88"/>
      <c r="GY20" s="88"/>
      <c r="GZ20" s="88"/>
      <c r="HA20" s="88"/>
      <c r="HB20" s="88"/>
      <c r="HC20" s="88"/>
      <c r="HD20" s="88"/>
      <c r="HE20" s="88"/>
      <c r="HF20" s="88"/>
      <c r="HG20" s="88"/>
      <c r="HH20" s="88"/>
      <c r="HI20" s="88"/>
      <c r="HJ20" s="88"/>
      <c r="HK20" s="88"/>
      <c r="HL20" s="88"/>
      <c r="HM20" s="88"/>
      <c r="HN20" s="88"/>
      <c r="HO20" s="88"/>
      <c r="HP20" s="88"/>
      <c r="HQ20" s="88"/>
      <c r="HR20" s="88"/>
      <c r="HS20" s="88"/>
      <c r="HT20" s="88"/>
      <c r="HU20" s="88"/>
      <c r="HV20" s="88"/>
      <c r="HW20" s="88"/>
      <c r="HX20" s="88"/>
      <c r="HY20" s="88"/>
      <c r="HZ20" s="88"/>
      <c r="IA20" s="88"/>
      <c r="IB20" s="88"/>
      <c r="IC20" s="88"/>
      <c r="ID20" s="88"/>
      <c r="IE20" s="88"/>
      <c r="IF20" s="88"/>
      <c r="IG20" s="88"/>
      <c r="IH20" s="88"/>
      <c r="II20" s="88"/>
      <c r="IJ20" s="88"/>
      <c r="IK20" s="88"/>
      <c r="IL20" s="88"/>
      <c r="IM20" s="88"/>
      <c r="IN20" s="88"/>
      <c r="IO20" s="88"/>
      <c r="IP20" s="88"/>
      <c r="IQ20" s="88"/>
      <c r="IR20" s="88"/>
      <c r="IS20" s="88"/>
      <c r="IT20" s="88"/>
      <c r="IU20" s="88"/>
      <c r="IV20" s="88"/>
      <c r="IW20" s="88"/>
      <c r="IX20" s="88"/>
      <c r="IY20" s="88"/>
      <c r="IZ20" s="88"/>
      <c r="JA20" s="88"/>
      <c r="JB20" s="88"/>
      <c r="JC20" s="88"/>
      <c r="JD20" s="88"/>
      <c r="JE20" s="88"/>
      <c r="JF20" s="88"/>
      <c r="JG20" s="88"/>
      <c r="JH20" s="88"/>
      <c r="JI20" s="88"/>
      <c r="JJ20" s="88"/>
      <c r="JK20" s="88"/>
      <c r="JL20" s="88"/>
      <c r="JM20" s="88"/>
      <c r="JN20" s="88"/>
      <c r="JO20" s="88"/>
      <c r="JP20" s="88"/>
      <c r="JQ20" s="88"/>
      <c r="JR20" s="88"/>
      <c r="JS20" s="88"/>
      <c r="JT20" s="88"/>
      <c r="JU20" s="88"/>
      <c r="JV20" s="88"/>
      <c r="JW20" s="88"/>
      <c r="JX20" s="88"/>
      <c r="JY20" s="88"/>
      <c r="JZ20" s="88"/>
      <c r="KA20" s="88"/>
      <c r="KB20" s="88"/>
      <c r="KC20" s="88"/>
      <c r="KD20" s="88"/>
      <c r="KE20" s="88"/>
      <c r="KF20" s="88"/>
      <c r="KG20" s="88"/>
      <c r="KH20" s="88"/>
      <c r="KI20" s="88"/>
      <c r="KJ20" s="88"/>
      <c r="KK20" s="88"/>
      <c r="KL20" s="88"/>
      <c r="KM20" s="88"/>
      <c r="KN20" s="88"/>
      <c r="KO20" s="88"/>
      <c r="KP20" s="88"/>
      <c r="KQ20" s="88"/>
      <c r="KR20" s="88"/>
      <c r="KS20" s="88"/>
      <c r="KT20" s="88"/>
      <c r="KU20" s="88"/>
      <c r="KV20" s="88"/>
      <c r="KW20" s="88"/>
      <c r="KX20" s="88"/>
      <c r="KY20" s="88"/>
      <c r="KZ20" s="88"/>
      <c r="LA20" s="88"/>
      <c r="LB20" s="88"/>
      <c r="LC20" s="88"/>
      <c r="LD20" s="88"/>
      <c r="LE20" s="88"/>
      <c r="LF20" s="88"/>
      <c r="LG20" s="88"/>
      <c r="LH20" s="88"/>
      <c r="LI20" s="88"/>
      <c r="LJ20" s="88"/>
      <c r="LK20" s="88"/>
      <c r="LL20" s="88"/>
      <c r="LM20" s="88"/>
      <c r="LN20" s="88"/>
      <c r="LO20" s="88"/>
      <c r="LP20" s="88"/>
      <c r="LQ20" s="88"/>
      <c r="LR20" s="88"/>
      <c r="LS20" s="88"/>
      <c r="LT20" s="88"/>
      <c r="LU20" s="88"/>
      <c r="LV20" s="88"/>
      <c r="LW20" s="88"/>
      <c r="LX20" s="88"/>
      <c r="LY20" s="88"/>
      <c r="LZ20" s="88"/>
      <c r="MA20" s="88"/>
      <c r="MB20" s="88"/>
      <c r="MC20" s="88"/>
      <c r="MD20" s="88"/>
      <c r="ME20" s="88"/>
      <c r="MF20" s="88"/>
      <c r="MG20" s="88"/>
      <c r="MH20" s="88"/>
      <c r="MI20" s="88"/>
      <c r="MJ20" s="88"/>
      <c r="MK20" s="88"/>
      <c r="ML20" s="88"/>
      <c r="MM20" s="88"/>
      <c r="MN20" s="88"/>
      <c r="MO20" s="88"/>
      <c r="MP20" s="88"/>
      <c r="MQ20" s="88"/>
      <c r="MR20" s="88"/>
      <c r="MS20" s="88"/>
      <c r="MT20" s="88"/>
      <c r="MU20" s="88"/>
      <c r="MV20" s="88"/>
      <c r="MW20" s="88"/>
      <c r="MX20" s="88"/>
      <c r="MY20" s="88"/>
      <c r="MZ20" s="88"/>
      <c r="NA20" s="88"/>
      <c r="NB20" s="88"/>
      <c r="NC20" s="88"/>
      <c r="ND20" s="88"/>
      <c r="NE20" s="88"/>
      <c r="NF20" s="88"/>
      <c r="NG20" s="88"/>
      <c r="NH20" s="88"/>
      <c r="NI20" s="88"/>
      <c r="NJ20" s="88"/>
      <c r="NK20" s="88"/>
      <c r="NL20" s="88"/>
      <c r="NM20" s="88"/>
      <c r="NN20" s="88"/>
      <c r="NO20" s="88"/>
      <c r="NP20" s="88"/>
      <c r="NQ20" s="88"/>
      <c r="NR20" s="88"/>
      <c r="NS20" s="88"/>
      <c r="NT20" s="88"/>
      <c r="NU20" s="88"/>
      <c r="NV20" s="88"/>
      <c r="NW20" s="88"/>
      <c r="NX20" s="88"/>
      <c r="NY20" s="88"/>
      <c r="NZ20" s="88"/>
      <c r="OA20" s="88"/>
      <c r="OB20" s="88"/>
      <c r="OC20" s="88"/>
      <c r="OD20" s="88"/>
      <c r="OE20" s="88"/>
      <c r="OF20" s="88"/>
      <c r="OG20" s="88"/>
      <c r="OH20" s="88"/>
      <c r="OI20" s="88"/>
      <c r="OJ20" s="88"/>
      <c r="OK20" s="88"/>
      <c r="OL20" s="88"/>
      <c r="OM20" s="88"/>
      <c r="ON20" s="88"/>
      <c r="OO20" s="88"/>
      <c r="OP20" s="88"/>
      <c r="OQ20" s="88"/>
      <c r="OR20" s="88"/>
      <c r="OS20" s="88"/>
      <c r="OT20" s="88"/>
      <c r="OU20" s="88"/>
      <c r="OV20" s="88"/>
      <c r="OW20" s="88"/>
      <c r="OX20" s="88"/>
      <c r="OY20" s="88"/>
      <c r="OZ20" s="88"/>
      <c r="PA20" s="88"/>
      <c r="PB20" s="88"/>
      <c r="PC20" s="88"/>
      <c r="PD20" s="88"/>
      <c r="PE20" s="88"/>
      <c r="PF20" s="88"/>
      <c r="PG20" s="88"/>
      <c r="PH20" s="88"/>
      <c r="PI20" s="88"/>
      <c r="PJ20" s="88"/>
      <c r="PK20" s="88"/>
      <c r="PL20" s="88"/>
      <c r="PM20" s="88"/>
      <c r="PN20" s="88"/>
      <c r="PO20" s="88"/>
      <c r="PP20" s="88"/>
      <c r="PQ20" s="88"/>
      <c r="PR20" s="88"/>
      <c r="PS20" s="88"/>
      <c r="PT20" s="89"/>
    </row>
    <row r="21" spans="1:436" ht="15.75" thickBot="1" x14ac:dyDescent="0.3">
      <c r="A21" s="24"/>
      <c r="B21" s="25"/>
      <c r="C21" s="25"/>
      <c r="D21" s="25"/>
      <c r="E21" s="24"/>
      <c r="F21" s="24"/>
      <c r="G21" s="24"/>
      <c r="H21" s="2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3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3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23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3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3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3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3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6"/>
      <c r="LG21" s="26"/>
      <c r="LH21" s="23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6"/>
      <c r="MT21" s="26"/>
      <c r="MU21" s="23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6"/>
      <c r="OG21" s="26"/>
      <c r="OH21" s="23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  <c r="PS21" s="26"/>
      <c r="PT21" s="26"/>
    </row>
    <row r="22" spans="1:436" ht="15.75" thickBot="1" x14ac:dyDescent="0.3">
      <c r="A22" s="24"/>
      <c r="B22" s="25"/>
      <c r="C22" s="25"/>
      <c r="D22" s="25"/>
      <c r="E22" s="24"/>
      <c r="F22" s="24"/>
      <c r="G22" s="24"/>
      <c r="H22" s="23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3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3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23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3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3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3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3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6"/>
      <c r="LG22" s="26"/>
      <c r="LH22" s="23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6"/>
      <c r="MT22" s="26"/>
      <c r="MU22" s="23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6"/>
      <c r="OG22" s="26"/>
      <c r="OH22" s="23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  <c r="PS22" s="26"/>
      <c r="PT22" s="26"/>
    </row>
    <row r="23" spans="1:436" ht="15.75" thickBot="1" x14ac:dyDescent="0.3">
      <c r="A23" s="24"/>
      <c r="B23" s="25"/>
      <c r="C23" s="25"/>
      <c r="D23" s="25"/>
      <c r="E23" s="24"/>
      <c r="F23" s="24"/>
      <c r="G23" s="24"/>
      <c r="H23" s="2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3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3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23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3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3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3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3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3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3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3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</row>
    <row r="24" spans="1:436" ht="15.75" thickBot="1" x14ac:dyDescent="0.3">
      <c r="A24" s="24"/>
      <c r="B24" s="25"/>
      <c r="C24" s="25"/>
      <c r="D24" s="25"/>
      <c r="E24" s="24"/>
      <c r="F24" s="24"/>
      <c r="G24" s="24"/>
      <c r="H24" s="2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3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3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23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3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3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3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3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3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3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3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</row>
    <row r="25" spans="1:436" ht="15.75" thickBot="1" x14ac:dyDescent="0.3">
      <c r="A25" s="24"/>
      <c r="B25" s="25"/>
      <c r="C25" s="25"/>
      <c r="D25" s="25"/>
      <c r="E25" s="24"/>
      <c r="F25" s="24"/>
      <c r="G25" s="24"/>
      <c r="H25" s="23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3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3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82"/>
      <c r="DT25" s="82"/>
      <c r="DU25" s="23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3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3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3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3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3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3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3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</row>
    <row r="26" spans="1:436" ht="15.75" thickBot="1" x14ac:dyDescent="0.3">
      <c r="A26" s="24"/>
      <c r="B26" s="25"/>
      <c r="C26" s="25"/>
      <c r="D26" s="25"/>
      <c r="E26" s="24"/>
      <c r="F26" s="24"/>
      <c r="G26" s="24"/>
      <c r="H26" s="23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3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3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23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3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3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3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3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3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3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3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</row>
    <row r="27" spans="1:436" ht="15.75" thickBot="1" x14ac:dyDescent="0.3">
      <c r="A27" s="24"/>
      <c r="B27" s="25"/>
      <c r="C27" s="25"/>
      <c r="D27" s="25"/>
      <c r="E27" s="24"/>
      <c r="F27" s="24"/>
      <c r="G27" s="24"/>
      <c r="H27" s="23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3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3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23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3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3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3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3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6"/>
      <c r="LG27" s="26"/>
      <c r="LH27" s="23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6"/>
      <c r="MT27" s="26"/>
      <c r="MU27" s="23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6"/>
      <c r="OG27" s="26"/>
      <c r="OH27" s="23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  <c r="PS27" s="26"/>
      <c r="PT27" s="26"/>
    </row>
    <row r="28" spans="1:436" ht="15.75" thickBot="1" x14ac:dyDescent="0.3">
      <c r="A28" s="24"/>
      <c r="B28" s="25"/>
      <c r="C28" s="25"/>
      <c r="D28" s="25"/>
      <c r="E28" s="24"/>
      <c r="F28" s="24"/>
      <c r="G28" s="24"/>
      <c r="H28" s="23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3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3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23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3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3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3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3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  <c r="KY28" s="26"/>
      <c r="KZ28" s="26"/>
      <c r="LA28" s="26"/>
      <c r="LB28" s="26"/>
      <c r="LC28" s="26"/>
      <c r="LD28" s="26"/>
      <c r="LE28" s="26"/>
      <c r="LF28" s="26"/>
      <c r="LG28" s="26"/>
      <c r="LH28" s="23"/>
      <c r="LI28" s="26"/>
      <c r="LJ28" s="26"/>
      <c r="LK28" s="26"/>
      <c r="LL28" s="26"/>
      <c r="LM28" s="26"/>
      <c r="LN28" s="26"/>
      <c r="LO28" s="26"/>
      <c r="LP28" s="26"/>
      <c r="LQ28" s="26"/>
      <c r="LR28" s="26"/>
      <c r="LS28" s="26"/>
      <c r="LT28" s="26"/>
      <c r="LU28" s="26"/>
      <c r="LV28" s="26"/>
      <c r="LW28" s="26"/>
      <c r="LX28" s="26"/>
      <c r="LY28" s="26"/>
      <c r="LZ28" s="26"/>
      <c r="MA28" s="26"/>
      <c r="MB28" s="26"/>
      <c r="MC28" s="26"/>
      <c r="MD28" s="26"/>
      <c r="ME28" s="26"/>
      <c r="MF28" s="26"/>
      <c r="MG28" s="26"/>
      <c r="MH28" s="26"/>
      <c r="MI28" s="26"/>
      <c r="MJ28" s="26"/>
      <c r="MK28" s="26"/>
      <c r="ML28" s="26"/>
      <c r="MM28" s="26"/>
      <c r="MN28" s="26"/>
      <c r="MO28" s="26"/>
      <c r="MP28" s="26"/>
      <c r="MQ28" s="26"/>
      <c r="MR28" s="26"/>
      <c r="MS28" s="26"/>
      <c r="MT28" s="26"/>
      <c r="MU28" s="23"/>
      <c r="MV28" s="26"/>
      <c r="MW28" s="26"/>
      <c r="MX28" s="26"/>
      <c r="MY28" s="26"/>
      <c r="MZ28" s="26"/>
      <c r="NA28" s="26"/>
      <c r="NB28" s="26"/>
      <c r="NC28" s="26"/>
      <c r="ND28" s="26"/>
      <c r="NE28" s="26"/>
      <c r="NF28" s="26"/>
      <c r="NG28" s="26"/>
      <c r="NH28" s="26"/>
      <c r="NI28" s="26"/>
      <c r="NJ28" s="26"/>
      <c r="NK28" s="26"/>
      <c r="NL28" s="26"/>
      <c r="NM28" s="26"/>
      <c r="NN28" s="26"/>
      <c r="NO28" s="26"/>
      <c r="NP28" s="26"/>
      <c r="NQ28" s="26"/>
      <c r="NR28" s="26"/>
      <c r="NS28" s="26"/>
      <c r="NT28" s="26"/>
      <c r="NU28" s="26"/>
      <c r="NV28" s="26"/>
      <c r="NW28" s="26"/>
      <c r="NX28" s="26"/>
      <c r="NY28" s="26"/>
      <c r="NZ28" s="26"/>
      <c r="OA28" s="26"/>
      <c r="OB28" s="26"/>
      <c r="OC28" s="26"/>
      <c r="OD28" s="26"/>
      <c r="OE28" s="26"/>
      <c r="OF28" s="26"/>
      <c r="OG28" s="26"/>
      <c r="OH28" s="23"/>
      <c r="OI28" s="26"/>
      <c r="OJ28" s="26"/>
      <c r="OK28" s="26"/>
      <c r="OL28" s="26"/>
      <c r="OM28" s="26"/>
      <c r="ON28" s="26"/>
      <c r="OO28" s="26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6"/>
      <c r="PB28" s="26"/>
      <c r="PC28" s="26"/>
      <c r="PD28" s="26"/>
      <c r="PE28" s="26"/>
      <c r="PF28" s="26"/>
      <c r="PG28" s="26"/>
      <c r="PH28" s="26"/>
      <c r="PI28" s="26"/>
      <c r="PJ28" s="26"/>
      <c r="PK28" s="26"/>
      <c r="PL28" s="26"/>
      <c r="PM28" s="26"/>
      <c r="PN28" s="26"/>
      <c r="PO28" s="26"/>
      <c r="PP28" s="26"/>
      <c r="PQ28" s="26"/>
      <c r="PR28" s="26"/>
      <c r="PS28" s="26"/>
      <c r="PT28" s="26"/>
    </row>
    <row r="29" spans="1:436" ht="15.75" thickBot="1" x14ac:dyDescent="0.3">
      <c r="A29" s="24"/>
      <c r="B29" s="25"/>
      <c r="C29" s="25"/>
      <c r="D29" s="25"/>
      <c r="E29" s="24"/>
      <c r="F29" s="24"/>
      <c r="G29" s="24"/>
      <c r="H29" s="23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3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3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23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3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3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3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3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6"/>
      <c r="LG29" s="26"/>
      <c r="LH29" s="23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6"/>
      <c r="MT29" s="26"/>
      <c r="MU29" s="23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6"/>
      <c r="OG29" s="26"/>
      <c r="OH29" s="23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  <c r="PS29" s="26"/>
      <c r="PT29" s="26"/>
    </row>
    <row r="30" spans="1:436" ht="15.75" thickBot="1" x14ac:dyDescent="0.3">
      <c r="A30" s="24"/>
      <c r="B30" s="25"/>
      <c r="C30" s="25"/>
      <c r="D30" s="25"/>
      <c r="E30" s="24"/>
      <c r="F30" s="24"/>
      <c r="G30" s="24"/>
      <c r="H30" s="23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3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3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23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3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3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3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3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6"/>
      <c r="LG30" s="26"/>
      <c r="LH30" s="23"/>
      <c r="LI30" s="26"/>
      <c r="LJ30" s="26"/>
      <c r="LK30" s="26"/>
      <c r="LL30" s="26"/>
      <c r="LM30" s="26"/>
      <c r="LN30" s="26"/>
      <c r="LO30" s="26"/>
      <c r="LP30" s="26"/>
      <c r="LQ30" s="26"/>
      <c r="LR30" s="26"/>
      <c r="LS30" s="26"/>
      <c r="LT30" s="26"/>
      <c r="LU30" s="26"/>
      <c r="LV30" s="26"/>
      <c r="LW30" s="26"/>
      <c r="LX30" s="26"/>
      <c r="LY30" s="26"/>
      <c r="LZ30" s="26"/>
      <c r="MA30" s="26"/>
      <c r="MB30" s="26"/>
      <c r="MC30" s="26"/>
      <c r="MD30" s="26"/>
      <c r="ME30" s="26"/>
      <c r="MF30" s="26"/>
      <c r="MG30" s="26"/>
      <c r="MH30" s="26"/>
      <c r="MI30" s="26"/>
      <c r="MJ30" s="26"/>
      <c r="MK30" s="26"/>
      <c r="ML30" s="26"/>
      <c r="MM30" s="26"/>
      <c r="MN30" s="26"/>
      <c r="MO30" s="26"/>
      <c r="MP30" s="26"/>
      <c r="MQ30" s="26"/>
      <c r="MR30" s="26"/>
      <c r="MS30" s="26"/>
      <c r="MT30" s="26"/>
      <c r="MU30" s="23"/>
      <c r="MV30" s="26"/>
      <c r="MW30" s="26"/>
      <c r="MX30" s="26"/>
      <c r="MY30" s="26"/>
      <c r="MZ30" s="26"/>
      <c r="NA30" s="26"/>
      <c r="NB30" s="26"/>
      <c r="NC30" s="26"/>
      <c r="ND30" s="26"/>
      <c r="NE30" s="26"/>
      <c r="NF30" s="26"/>
      <c r="NG30" s="26"/>
      <c r="NH30" s="26"/>
      <c r="NI30" s="26"/>
      <c r="NJ30" s="26"/>
      <c r="NK30" s="26"/>
      <c r="NL30" s="26"/>
      <c r="NM30" s="26"/>
      <c r="NN30" s="26"/>
      <c r="NO30" s="26"/>
      <c r="NP30" s="26"/>
      <c r="NQ30" s="26"/>
      <c r="NR30" s="26"/>
      <c r="NS30" s="26"/>
      <c r="NT30" s="26"/>
      <c r="NU30" s="26"/>
      <c r="NV30" s="26"/>
      <c r="NW30" s="26"/>
      <c r="NX30" s="26"/>
      <c r="NY30" s="26"/>
      <c r="NZ30" s="26"/>
      <c r="OA30" s="26"/>
      <c r="OB30" s="26"/>
      <c r="OC30" s="26"/>
      <c r="OD30" s="26"/>
      <c r="OE30" s="26"/>
      <c r="OF30" s="26"/>
      <c r="OG30" s="26"/>
      <c r="OH30" s="23"/>
      <c r="OI30" s="26"/>
      <c r="OJ30" s="26"/>
      <c r="OK30" s="26"/>
      <c r="OL30" s="26"/>
      <c r="OM30" s="26"/>
      <c r="ON30" s="26"/>
      <c r="OO30" s="26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6"/>
      <c r="PB30" s="26"/>
      <c r="PC30" s="26"/>
      <c r="PD30" s="26"/>
      <c r="PE30" s="26"/>
      <c r="PF30" s="26"/>
      <c r="PG30" s="26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  <c r="PS30" s="26"/>
      <c r="PT30" s="26"/>
    </row>
    <row r="31" spans="1:436" ht="15.75" thickBot="1" x14ac:dyDescent="0.3">
      <c r="A31" s="24"/>
      <c r="B31" s="25"/>
      <c r="C31" s="25"/>
      <c r="D31" s="25"/>
      <c r="E31" s="24"/>
      <c r="F31" s="24"/>
      <c r="G31" s="24"/>
      <c r="H31" s="23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3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3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23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3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3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3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3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  <c r="KY31" s="26"/>
      <c r="KZ31" s="26"/>
      <c r="LA31" s="26"/>
      <c r="LB31" s="26"/>
      <c r="LC31" s="26"/>
      <c r="LD31" s="26"/>
      <c r="LE31" s="26"/>
      <c r="LF31" s="26"/>
      <c r="LG31" s="26"/>
      <c r="LH31" s="23"/>
      <c r="LI31" s="26"/>
      <c r="LJ31" s="26"/>
      <c r="LK31" s="26"/>
      <c r="LL31" s="26"/>
      <c r="LM31" s="26"/>
      <c r="LN31" s="26"/>
      <c r="LO31" s="26"/>
      <c r="LP31" s="26"/>
      <c r="LQ31" s="26"/>
      <c r="LR31" s="26"/>
      <c r="LS31" s="26"/>
      <c r="LT31" s="26"/>
      <c r="LU31" s="26"/>
      <c r="LV31" s="26"/>
      <c r="LW31" s="26"/>
      <c r="LX31" s="26"/>
      <c r="LY31" s="26"/>
      <c r="LZ31" s="26"/>
      <c r="MA31" s="26"/>
      <c r="MB31" s="26"/>
      <c r="MC31" s="26"/>
      <c r="MD31" s="26"/>
      <c r="ME31" s="26"/>
      <c r="MF31" s="26"/>
      <c r="MG31" s="26"/>
      <c r="MH31" s="26"/>
      <c r="MI31" s="26"/>
      <c r="MJ31" s="26"/>
      <c r="MK31" s="26"/>
      <c r="ML31" s="26"/>
      <c r="MM31" s="26"/>
      <c r="MN31" s="26"/>
      <c r="MO31" s="26"/>
      <c r="MP31" s="26"/>
      <c r="MQ31" s="26"/>
      <c r="MR31" s="26"/>
      <c r="MS31" s="26"/>
      <c r="MT31" s="26"/>
      <c r="MU31" s="23"/>
      <c r="MV31" s="26"/>
      <c r="MW31" s="26"/>
      <c r="MX31" s="26"/>
      <c r="MY31" s="26"/>
      <c r="MZ31" s="26"/>
      <c r="NA31" s="26"/>
      <c r="NB31" s="26"/>
      <c r="NC31" s="26"/>
      <c r="ND31" s="26"/>
      <c r="NE31" s="26"/>
      <c r="NF31" s="26"/>
      <c r="NG31" s="26"/>
      <c r="NH31" s="26"/>
      <c r="NI31" s="26"/>
      <c r="NJ31" s="26"/>
      <c r="NK31" s="26"/>
      <c r="NL31" s="26"/>
      <c r="NM31" s="26"/>
      <c r="NN31" s="26"/>
      <c r="NO31" s="26"/>
      <c r="NP31" s="26"/>
      <c r="NQ31" s="26"/>
      <c r="NR31" s="26"/>
      <c r="NS31" s="26"/>
      <c r="NT31" s="26"/>
      <c r="NU31" s="26"/>
      <c r="NV31" s="26"/>
      <c r="NW31" s="26"/>
      <c r="NX31" s="26"/>
      <c r="NY31" s="26"/>
      <c r="NZ31" s="26"/>
      <c r="OA31" s="26"/>
      <c r="OB31" s="26"/>
      <c r="OC31" s="26"/>
      <c r="OD31" s="26"/>
      <c r="OE31" s="26"/>
      <c r="OF31" s="26"/>
      <c r="OG31" s="26"/>
      <c r="OH31" s="23"/>
      <c r="OI31" s="26"/>
      <c r="OJ31" s="26"/>
      <c r="OK31" s="26"/>
      <c r="OL31" s="26"/>
      <c r="OM31" s="26"/>
      <c r="ON31" s="26"/>
      <c r="OO31" s="26"/>
      <c r="OP31" s="26"/>
      <c r="OQ31" s="26"/>
      <c r="OR31" s="26"/>
      <c r="OS31" s="26"/>
      <c r="OT31" s="26"/>
      <c r="OU31" s="26"/>
      <c r="OV31" s="26"/>
      <c r="OW31" s="26"/>
      <c r="OX31" s="26"/>
      <c r="OY31" s="26"/>
      <c r="OZ31" s="26"/>
      <c r="PA31" s="26"/>
      <c r="PB31" s="26"/>
      <c r="PC31" s="26"/>
      <c r="PD31" s="26"/>
      <c r="PE31" s="26"/>
      <c r="PF31" s="26"/>
      <c r="PG31" s="26"/>
      <c r="PH31" s="26"/>
      <c r="PI31" s="26"/>
      <c r="PJ31" s="26"/>
      <c r="PK31" s="26"/>
      <c r="PL31" s="26"/>
      <c r="PM31" s="26"/>
      <c r="PN31" s="26"/>
      <c r="PO31" s="26"/>
      <c r="PP31" s="26"/>
      <c r="PQ31" s="26"/>
      <c r="PR31" s="26"/>
      <c r="PS31" s="26"/>
      <c r="PT31" s="26"/>
    </row>
    <row r="32" spans="1:436" ht="15.75" thickBot="1" x14ac:dyDescent="0.3">
      <c r="A32" s="24"/>
      <c r="B32" s="25"/>
      <c r="C32" s="25"/>
      <c r="D32" s="25"/>
      <c r="E32" s="24"/>
      <c r="F32" s="24"/>
      <c r="G32" s="24"/>
      <c r="H32" s="23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3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3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23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3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3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3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3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  <c r="KY32" s="26"/>
      <c r="KZ32" s="26"/>
      <c r="LA32" s="26"/>
      <c r="LB32" s="26"/>
      <c r="LC32" s="26"/>
      <c r="LD32" s="26"/>
      <c r="LE32" s="26"/>
      <c r="LF32" s="26"/>
      <c r="LG32" s="26"/>
      <c r="LH32" s="23"/>
      <c r="LI32" s="26"/>
      <c r="LJ32" s="26"/>
      <c r="LK32" s="26"/>
      <c r="LL32" s="26"/>
      <c r="LM32" s="26"/>
      <c r="LN32" s="26"/>
      <c r="LO32" s="26"/>
      <c r="LP32" s="26"/>
      <c r="LQ32" s="26"/>
      <c r="LR32" s="26"/>
      <c r="LS32" s="26"/>
      <c r="LT32" s="26"/>
      <c r="LU32" s="26"/>
      <c r="LV32" s="26"/>
      <c r="LW32" s="26"/>
      <c r="LX32" s="26"/>
      <c r="LY32" s="26"/>
      <c r="LZ32" s="26"/>
      <c r="MA32" s="26"/>
      <c r="MB32" s="26"/>
      <c r="MC32" s="26"/>
      <c r="MD32" s="26"/>
      <c r="ME32" s="26"/>
      <c r="MF32" s="26"/>
      <c r="MG32" s="26"/>
      <c r="MH32" s="26"/>
      <c r="MI32" s="26"/>
      <c r="MJ32" s="26"/>
      <c r="MK32" s="26"/>
      <c r="ML32" s="26"/>
      <c r="MM32" s="26"/>
      <c r="MN32" s="26"/>
      <c r="MO32" s="26"/>
      <c r="MP32" s="26"/>
      <c r="MQ32" s="26"/>
      <c r="MR32" s="26"/>
      <c r="MS32" s="26"/>
      <c r="MT32" s="26"/>
      <c r="MU32" s="23"/>
      <c r="MV32" s="26"/>
      <c r="MW32" s="26"/>
      <c r="MX32" s="26"/>
      <c r="MY32" s="26"/>
      <c r="MZ32" s="26"/>
      <c r="NA32" s="26"/>
      <c r="NB32" s="26"/>
      <c r="NC32" s="26"/>
      <c r="ND32" s="26"/>
      <c r="NE32" s="26"/>
      <c r="NF32" s="26"/>
      <c r="NG32" s="26"/>
      <c r="NH32" s="26"/>
      <c r="NI32" s="26"/>
      <c r="NJ32" s="26"/>
      <c r="NK32" s="26"/>
      <c r="NL32" s="26"/>
      <c r="NM32" s="26"/>
      <c r="NN32" s="26"/>
      <c r="NO32" s="26"/>
      <c r="NP32" s="26"/>
      <c r="NQ32" s="26"/>
      <c r="NR32" s="26"/>
      <c r="NS32" s="26"/>
      <c r="NT32" s="26"/>
      <c r="NU32" s="26"/>
      <c r="NV32" s="26"/>
      <c r="NW32" s="26"/>
      <c r="NX32" s="26"/>
      <c r="NY32" s="26"/>
      <c r="NZ32" s="26"/>
      <c r="OA32" s="26"/>
      <c r="OB32" s="26"/>
      <c r="OC32" s="26"/>
      <c r="OD32" s="26"/>
      <c r="OE32" s="26"/>
      <c r="OF32" s="26"/>
      <c r="OG32" s="26"/>
      <c r="OH32" s="23"/>
      <c r="OI32" s="26"/>
      <c r="OJ32" s="26"/>
      <c r="OK32" s="26"/>
      <c r="OL32" s="26"/>
      <c r="OM32" s="26"/>
      <c r="ON32" s="26"/>
      <c r="OO32" s="26"/>
      <c r="OP32" s="26"/>
      <c r="OQ32" s="26"/>
      <c r="OR32" s="26"/>
      <c r="OS32" s="26"/>
      <c r="OT32" s="26"/>
      <c r="OU32" s="26"/>
      <c r="OV32" s="26"/>
      <c r="OW32" s="26"/>
      <c r="OX32" s="26"/>
      <c r="OY32" s="26"/>
      <c r="OZ32" s="26"/>
      <c r="PA32" s="26"/>
      <c r="PB32" s="26"/>
      <c r="PC32" s="26"/>
      <c r="PD32" s="26"/>
      <c r="PE32" s="26"/>
      <c r="PF32" s="26"/>
      <c r="PG32" s="26"/>
      <c r="PH32" s="26"/>
      <c r="PI32" s="26"/>
      <c r="PJ32" s="26"/>
      <c r="PK32" s="26"/>
      <c r="PL32" s="26"/>
      <c r="PM32" s="26"/>
      <c r="PN32" s="26"/>
      <c r="PO32" s="26"/>
      <c r="PP32" s="26"/>
      <c r="PQ32" s="26"/>
      <c r="PR32" s="26"/>
      <c r="PS32" s="26"/>
      <c r="PT32" s="26"/>
    </row>
    <row r="33" spans="1:436" ht="15.75" thickBot="1" x14ac:dyDescent="0.3">
      <c r="A33" s="24"/>
      <c r="B33" s="25"/>
      <c r="C33" s="25"/>
      <c r="D33" s="25"/>
      <c r="E33" s="24"/>
      <c r="F33" s="24"/>
      <c r="G33" s="24"/>
      <c r="H33" s="23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3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3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23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3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3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3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3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6"/>
      <c r="KV33" s="26"/>
      <c r="KW33" s="26"/>
      <c r="KX33" s="26"/>
      <c r="KY33" s="26"/>
      <c r="KZ33" s="26"/>
      <c r="LA33" s="26"/>
      <c r="LB33" s="26"/>
      <c r="LC33" s="26"/>
      <c r="LD33" s="26"/>
      <c r="LE33" s="26"/>
      <c r="LF33" s="26"/>
      <c r="LG33" s="26"/>
      <c r="LH33" s="23"/>
      <c r="LI33" s="26"/>
      <c r="LJ33" s="26"/>
      <c r="LK33" s="26"/>
      <c r="LL33" s="26"/>
      <c r="LM33" s="26"/>
      <c r="LN33" s="26"/>
      <c r="LO33" s="26"/>
      <c r="LP33" s="26"/>
      <c r="LQ33" s="26"/>
      <c r="LR33" s="26"/>
      <c r="LS33" s="26"/>
      <c r="LT33" s="26"/>
      <c r="LU33" s="26"/>
      <c r="LV33" s="26"/>
      <c r="LW33" s="26"/>
      <c r="LX33" s="26"/>
      <c r="LY33" s="26"/>
      <c r="LZ33" s="26"/>
      <c r="MA33" s="26"/>
      <c r="MB33" s="26"/>
      <c r="MC33" s="26"/>
      <c r="MD33" s="26"/>
      <c r="ME33" s="26"/>
      <c r="MF33" s="26"/>
      <c r="MG33" s="26"/>
      <c r="MH33" s="26"/>
      <c r="MI33" s="26"/>
      <c r="MJ33" s="26"/>
      <c r="MK33" s="26"/>
      <c r="ML33" s="26"/>
      <c r="MM33" s="26"/>
      <c r="MN33" s="26"/>
      <c r="MO33" s="26"/>
      <c r="MP33" s="26"/>
      <c r="MQ33" s="26"/>
      <c r="MR33" s="26"/>
      <c r="MS33" s="26"/>
      <c r="MT33" s="26"/>
      <c r="MU33" s="23"/>
      <c r="MV33" s="26"/>
      <c r="MW33" s="26"/>
      <c r="MX33" s="26"/>
      <c r="MY33" s="26"/>
      <c r="MZ33" s="26"/>
      <c r="NA33" s="26"/>
      <c r="NB33" s="26"/>
      <c r="NC33" s="26"/>
      <c r="ND33" s="26"/>
      <c r="NE33" s="26"/>
      <c r="NF33" s="26"/>
      <c r="NG33" s="26"/>
      <c r="NH33" s="26"/>
      <c r="NI33" s="26"/>
      <c r="NJ33" s="26"/>
      <c r="NK33" s="26"/>
      <c r="NL33" s="26"/>
      <c r="NM33" s="26"/>
      <c r="NN33" s="26"/>
      <c r="NO33" s="26"/>
      <c r="NP33" s="26"/>
      <c r="NQ33" s="26"/>
      <c r="NR33" s="26"/>
      <c r="NS33" s="26"/>
      <c r="NT33" s="26"/>
      <c r="NU33" s="26"/>
      <c r="NV33" s="26"/>
      <c r="NW33" s="26"/>
      <c r="NX33" s="26"/>
      <c r="NY33" s="26"/>
      <c r="NZ33" s="26"/>
      <c r="OA33" s="26"/>
      <c r="OB33" s="26"/>
      <c r="OC33" s="26"/>
      <c r="OD33" s="26"/>
      <c r="OE33" s="26"/>
      <c r="OF33" s="26"/>
      <c r="OG33" s="26"/>
      <c r="OH33" s="23"/>
      <c r="OI33" s="26"/>
      <c r="OJ33" s="26"/>
      <c r="OK33" s="26"/>
      <c r="OL33" s="26"/>
      <c r="OM33" s="26"/>
      <c r="ON33" s="26"/>
      <c r="OO33" s="26"/>
      <c r="OP33" s="26"/>
      <c r="OQ33" s="26"/>
      <c r="OR33" s="26"/>
      <c r="OS33" s="26"/>
      <c r="OT33" s="26"/>
      <c r="OU33" s="26"/>
      <c r="OV33" s="26"/>
      <c r="OW33" s="26"/>
      <c r="OX33" s="26"/>
      <c r="OY33" s="26"/>
      <c r="OZ33" s="26"/>
      <c r="PA33" s="26"/>
      <c r="PB33" s="26"/>
      <c r="PC33" s="26"/>
      <c r="PD33" s="26"/>
      <c r="PE33" s="26"/>
      <c r="PF33" s="26"/>
      <c r="PG33" s="26"/>
      <c r="PH33" s="26"/>
      <c r="PI33" s="26"/>
      <c r="PJ33" s="26"/>
      <c r="PK33" s="26"/>
      <c r="PL33" s="26"/>
      <c r="PM33" s="26"/>
      <c r="PN33" s="26"/>
      <c r="PO33" s="26"/>
      <c r="PP33" s="26"/>
      <c r="PQ33" s="26"/>
      <c r="PR33" s="26"/>
      <c r="PS33" s="26"/>
      <c r="PT33" s="26"/>
    </row>
    <row r="34" spans="1:436" ht="15.75" thickBot="1" x14ac:dyDescent="0.3">
      <c r="A34" s="24"/>
      <c r="B34" s="25"/>
      <c r="C34" s="25"/>
      <c r="D34" s="25"/>
      <c r="E34" s="24"/>
      <c r="F34" s="24"/>
      <c r="G34" s="24"/>
      <c r="H34" s="23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3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3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23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3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3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3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3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6"/>
      <c r="LG34" s="26"/>
      <c r="LH34" s="23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6"/>
      <c r="MT34" s="26"/>
      <c r="MU34" s="23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6"/>
      <c r="OG34" s="26"/>
      <c r="OH34" s="23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  <c r="PS34" s="26"/>
      <c r="PT34" s="26"/>
    </row>
    <row r="35" spans="1:436" ht="15.75" thickBot="1" x14ac:dyDescent="0.3">
      <c r="A35" s="24"/>
      <c r="B35" s="25"/>
      <c r="C35" s="25"/>
      <c r="D35" s="25"/>
      <c r="E35" s="24"/>
      <c r="F35" s="24"/>
      <c r="G35" s="24"/>
      <c r="H35" s="23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3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3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23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3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3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3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6"/>
      <c r="JT35" s="26"/>
      <c r="JU35" s="23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6"/>
      <c r="LG35" s="26"/>
      <c r="LH35" s="23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6"/>
      <c r="MT35" s="26"/>
      <c r="MU35" s="23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6"/>
      <c r="OG35" s="26"/>
      <c r="OH35" s="23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  <c r="PS35" s="26"/>
      <c r="PT35" s="26"/>
    </row>
    <row r="36" spans="1:436" ht="15.75" thickBot="1" x14ac:dyDescent="0.3">
      <c r="A36" s="24"/>
      <c r="B36" s="25"/>
      <c r="C36" s="25"/>
      <c r="D36" s="25"/>
      <c r="E36" s="24"/>
      <c r="F36" s="24"/>
      <c r="G36" s="24"/>
      <c r="H36" s="23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3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3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23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3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3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3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3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  <c r="KY36" s="26"/>
      <c r="KZ36" s="26"/>
      <c r="LA36" s="26"/>
      <c r="LB36" s="26"/>
      <c r="LC36" s="26"/>
      <c r="LD36" s="26"/>
      <c r="LE36" s="26"/>
      <c r="LF36" s="26"/>
      <c r="LG36" s="26"/>
      <c r="LH36" s="23"/>
      <c r="LI36" s="26"/>
      <c r="LJ36" s="26"/>
      <c r="LK36" s="26"/>
      <c r="LL36" s="26"/>
      <c r="LM36" s="26"/>
      <c r="LN36" s="26"/>
      <c r="LO36" s="26"/>
      <c r="LP36" s="26"/>
      <c r="LQ36" s="26"/>
      <c r="LR36" s="26"/>
      <c r="LS36" s="26"/>
      <c r="LT36" s="26"/>
      <c r="LU36" s="26"/>
      <c r="LV36" s="26"/>
      <c r="LW36" s="26"/>
      <c r="LX36" s="26"/>
      <c r="LY36" s="26"/>
      <c r="LZ36" s="26"/>
      <c r="MA36" s="26"/>
      <c r="MB36" s="26"/>
      <c r="MC36" s="26"/>
      <c r="MD36" s="26"/>
      <c r="ME36" s="26"/>
      <c r="MF36" s="26"/>
      <c r="MG36" s="26"/>
      <c r="MH36" s="26"/>
      <c r="MI36" s="26"/>
      <c r="MJ36" s="26"/>
      <c r="MK36" s="26"/>
      <c r="ML36" s="26"/>
      <c r="MM36" s="26"/>
      <c r="MN36" s="26"/>
      <c r="MO36" s="26"/>
      <c r="MP36" s="26"/>
      <c r="MQ36" s="26"/>
      <c r="MR36" s="26"/>
      <c r="MS36" s="26"/>
      <c r="MT36" s="26"/>
      <c r="MU36" s="23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6"/>
      <c r="OG36" s="26"/>
      <c r="OH36" s="23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  <c r="PS36" s="26"/>
      <c r="PT36" s="26"/>
    </row>
    <row r="37" spans="1:436" ht="15.75" thickBot="1" x14ac:dyDescent="0.3">
      <c r="A37" s="24"/>
      <c r="B37" s="25"/>
      <c r="C37" s="25"/>
      <c r="D37" s="25"/>
      <c r="E37" s="24"/>
      <c r="F37" s="24"/>
      <c r="G37" s="24"/>
      <c r="H37" s="23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3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3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23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3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3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3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3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  <c r="KY37" s="26"/>
      <c r="KZ37" s="26"/>
      <c r="LA37" s="26"/>
      <c r="LB37" s="26"/>
      <c r="LC37" s="26"/>
      <c r="LD37" s="26"/>
      <c r="LE37" s="26"/>
      <c r="LF37" s="26"/>
      <c r="LG37" s="26"/>
      <c r="LH37" s="23"/>
      <c r="LI37" s="26"/>
      <c r="LJ37" s="26"/>
      <c r="LK37" s="26"/>
      <c r="LL37" s="26"/>
      <c r="LM37" s="26"/>
      <c r="LN37" s="26"/>
      <c r="LO37" s="26"/>
      <c r="LP37" s="26"/>
      <c r="LQ37" s="26"/>
      <c r="LR37" s="26"/>
      <c r="LS37" s="26"/>
      <c r="LT37" s="26"/>
      <c r="LU37" s="26"/>
      <c r="LV37" s="26"/>
      <c r="LW37" s="26"/>
      <c r="LX37" s="26"/>
      <c r="LY37" s="26"/>
      <c r="LZ37" s="26"/>
      <c r="MA37" s="26"/>
      <c r="MB37" s="26"/>
      <c r="MC37" s="26"/>
      <c r="MD37" s="26"/>
      <c r="ME37" s="26"/>
      <c r="MF37" s="26"/>
      <c r="MG37" s="26"/>
      <c r="MH37" s="26"/>
      <c r="MI37" s="26"/>
      <c r="MJ37" s="26"/>
      <c r="MK37" s="26"/>
      <c r="ML37" s="26"/>
      <c r="MM37" s="26"/>
      <c r="MN37" s="26"/>
      <c r="MO37" s="26"/>
      <c r="MP37" s="26"/>
      <c r="MQ37" s="26"/>
      <c r="MR37" s="26"/>
      <c r="MS37" s="26"/>
      <c r="MT37" s="26"/>
      <c r="MU37" s="23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6"/>
      <c r="OG37" s="26"/>
      <c r="OH37" s="23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  <c r="PS37" s="26"/>
      <c r="PT37" s="26"/>
    </row>
    <row r="38" spans="1:436" ht="15.75" thickBot="1" x14ac:dyDescent="0.3">
      <c r="A38" s="24"/>
      <c r="B38" s="25"/>
      <c r="C38" s="25"/>
      <c r="D38" s="25"/>
      <c r="E38" s="24"/>
      <c r="F38" s="24"/>
      <c r="G38" s="24"/>
      <c r="H38" s="23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3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3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23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3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3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3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3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  <c r="KT38" s="26"/>
      <c r="KU38" s="26"/>
      <c r="KV38" s="26"/>
      <c r="KW38" s="26"/>
      <c r="KX38" s="26"/>
      <c r="KY38" s="26"/>
      <c r="KZ38" s="26"/>
      <c r="LA38" s="26"/>
      <c r="LB38" s="26"/>
      <c r="LC38" s="26"/>
      <c r="LD38" s="26"/>
      <c r="LE38" s="26"/>
      <c r="LF38" s="26"/>
      <c r="LG38" s="26"/>
      <c r="LH38" s="23"/>
      <c r="LI38" s="26"/>
      <c r="LJ38" s="26"/>
      <c r="LK38" s="26"/>
      <c r="LL38" s="26"/>
      <c r="LM38" s="26"/>
      <c r="LN38" s="26"/>
      <c r="LO38" s="26"/>
      <c r="LP38" s="26"/>
      <c r="LQ38" s="26"/>
      <c r="LR38" s="26"/>
      <c r="LS38" s="26"/>
      <c r="LT38" s="26"/>
      <c r="LU38" s="26"/>
      <c r="LV38" s="26"/>
      <c r="LW38" s="26"/>
      <c r="LX38" s="26"/>
      <c r="LY38" s="26"/>
      <c r="LZ38" s="26"/>
      <c r="MA38" s="26"/>
      <c r="MB38" s="26"/>
      <c r="MC38" s="26"/>
      <c r="MD38" s="26"/>
      <c r="ME38" s="26"/>
      <c r="MF38" s="26"/>
      <c r="MG38" s="26"/>
      <c r="MH38" s="26"/>
      <c r="MI38" s="26"/>
      <c r="MJ38" s="26"/>
      <c r="MK38" s="26"/>
      <c r="ML38" s="26"/>
      <c r="MM38" s="26"/>
      <c r="MN38" s="26"/>
      <c r="MO38" s="26"/>
      <c r="MP38" s="26"/>
      <c r="MQ38" s="26"/>
      <c r="MR38" s="26"/>
      <c r="MS38" s="26"/>
      <c r="MT38" s="26"/>
      <c r="MU38" s="23"/>
      <c r="MV38" s="26"/>
      <c r="MW38" s="26"/>
      <c r="MX38" s="26"/>
      <c r="MY38" s="26"/>
      <c r="MZ38" s="26"/>
      <c r="NA38" s="26"/>
      <c r="NB38" s="26"/>
      <c r="NC38" s="26"/>
      <c r="ND38" s="26"/>
      <c r="NE38" s="26"/>
      <c r="NF38" s="26"/>
      <c r="NG38" s="26"/>
      <c r="NH38" s="26"/>
      <c r="NI38" s="26"/>
      <c r="NJ38" s="26"/>
      <c r="NK38" s="26"/>
      <c r="NL38" s="26"/>
      <c r="NM38" s="26"/>
      <c r="NN38" s="26"/>
      <c r="NO38" s="26"/>
      <c r="NP38" s="26"/>
      <c r="NQ38" s="26"/>
      <c r="NR38" s="26"/>
      <c r="NS38" s="26"/>
      <c r="NT38" s="26"/>
      <c r="NU38" s="26"/>
      <c r="NV38" s="26"/>
      <c r="NW38" s="26"/>
      <c r="NX38" s="26"/>
      <c r="NY38" s="26"/>
      <c r="NZ38" s="26"/>
      <c r="OA38" s="26"/>
      <c r="OB38" s="26"/>
      <c r="OC38" s="26"/>
      <c r="OD38" s="26"/>
      <c r="OE38" s="26"/>
      <c r="OF38" s="26"/>
      <c r="OG38" s="26"/>
      <c r="OH38" s="23"/>
      <c r="OI38" s="26"/>
      <c r="OJ38" s="26"/>
      <c r="OK38" s="26"/>
      <c r="OL38" s="26"/>
      <c r="OM38" s="26"/>
      <c r="ON38" s="26"/>
      <c r="OO38" s="26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6"/>
      <c r="PB38" s="26"/>
      <c r="PC38" s="26"/>
      <c r="PD38" s="26"/>
      <c r="PE38" s="26"/>
      <c r="PF38" s="26"/>
      <c r="PG38" s="26"/>
      <c r="PH38" s="26"/>
      <c r="PI38" s="26"/>
      <c r="PJ38" s="26"/>
      <c r="PK38" s="26"/>
      <c r="PL38" s="26"/>
      <c r="PM38" s="26"/>
      <c r="PN38" s="26"/>
      <c r="PO38" s="26"/>
      <c r="PP38" s="26"/>
      <c r="PQ38" s="26"/>
      <c r="PR38" s="26"/>
      <c r="PS38" s="26"/>
      <c r="PT38" s="26"/>
    </row>
    <row r="39" spans="1:436" ht="15.75" thickBot="1" x14ac:dyDescent="0.3">
      <c r="A39" s="24"/>
      <c r="B39" s="25"/>
      <c r="C39" s="25"/>
      <c r="D39" s="25"/>
      <c r="E39" s="24"/>
      <c r="F39" s="24"/>
      <c r="G39" s="24"/>
      <c r="H39" s="23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3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3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23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3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3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3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3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6"/>
      <c r="LG39" s="26"/>
      <c r="LH39" s="23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6"/>
      <c r="MT39" s="26"/>
      <c r="MU39" s="23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6"/>
      <c r="OG39" s="26"/>
      <c r="OH39" s="23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  <c r="PS39" s="26"/>
      <c r="PT39" s="26"/>
    </row>
    <row r="40" spans="1:436" ht="15.75" thickBot="1" x14ac:dyDescent="0.3">
      <c r="A40" s="24"/>
      <c r="B40" s="25"/>
      <c r="C40" s="25"/>
      <c r="D40" s="25"/>
      <c r="E40" s="24"/>
      <c r="F40" s="24"/>
      <c r="G40" s="24"/>
      <c r="H40" s="23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3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3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23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3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3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3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3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3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3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3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</row>
    <row r="41" spans="1:436" ht="15.75" thickBot="1" x14ac:dyDescent="0.3">
      <c r="A41" s="24"/>
      <c r="B41" s="25"/>
      <c r="C41" s="25"/>
      <c r="D41" s="25"/>
      <c r="E41" s="24"/>
      <c r="F41" s="24"/>
      <c r="G41" s="24"/>
      <c r="H41" s="23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3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3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23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3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3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3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3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3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3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3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</row>
    <row r="42" spans="1:436" ht="15.75" thickBot="1" x14ac:dyDescent="0.3">
      <c r="A42" s="24"/>
      <c r="B42" s="25"/>
      <c r="C42" s="25"/>
      <c r="D42" s="25"/>
      <c r="E42" s="24"/>
      <c r="F42" s="24"/>
      <c r="G42" s="24"/>
      <c r="H42" s="23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3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3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23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3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3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3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3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6"/>
      <c r="LG42" s="26"/>
      <c r="LH42" s="23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6"/>
      <c r="MT42" s="26"/>
      <c r="MU42" s="23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6"/>
      <c r="OG42" s="26"/>
      <c r="OH42" s="23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  <c r="PS42" s="26"/>
      <c r="PT42" s="26"/>
    </row>
    <row r="43" spans="1:436" ht="15.75" thickBot="1" x14ac:dyDescent="0.3">
      <c r="A43" s="24"/>
      <c r="B43" s="25"/>
      <c r="C43" s="25"/>
      <c r="D43" s="25"/>
      <c r="E43" s="24"/>
      <c r="F43" s="24"/>
      <c r="G43" s="24"/>
      <c r="H43" s="23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3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3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23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3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3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3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3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3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3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6"/>
      <c r="OG43" s="26"/>
      <c r="OH43" s="23"/>
      <c r="OI43" s="26"/>
      <c r="OJ43" s="26"/>
      <c r="OK43" s="26"/>
      <c r="OL43" s="26"/>
      <c r="OM43" s="26"/>
      <c r="ON43" s="26"/>
      <c r="OO43" s="26"/>
      <c r="OP43" s="26"/>
      <c r="OQ43" s="26"/>
      <c r="OR43" s="26"/>
      <c r="OS43" s="26"/>
      <c r="OT43" s="26"/>
      <c r="OU43" s="26"/>
      <c r="OV43" s="26"/>
      <c r="OW43" s="26"/>
      <c r="OX43" s="26"/>
      <c r="OY43" s="26"/>
      <c r="OZ43" s="26"/>
      <c r="PA43" s="26"/>
      <c r="PB43" s="26"/>
      <c r="PC43" s="26"/>
      <c r="PD43" s="26"/>
      <c r="PE43" s="26"/>
      <c r="PF43" s="26"/>
      <c r="PG43" s="26"/>
      <c r="PH43" s="26"/>
      <c r="PI43" s="26"/>
      <c r="PJ43" s="26"/>
      <c r="PK43" s="26"/>
      <c r="PL43" s="26"/>
      <c r="PM43" s="26"/>
      <c r="PN43" s="26"/>
      <c r="PO43" s="26"/>
      <c r="PP43" s="26"/>
      <c r="PQ43" s="26"/>
      <c r="PR43" s="26"/>
      <c r="PS43" s="26"/>
      <c r="PT43" s="26"/>
    </row>
    <row r="44" spans="1:436" ht="15.75" thickBot="1" x14ac:dyDescent="0.3">
      <c r="A44" s="24"/>
      <c r="B44" s="25"/>
      <c r="C44" s="25"/>
      <c r="D44" s="25"/>
      <c r="E44" s="24"/>
      <c r="F44" s="24"/>
      <c r="G44" s="24"/>
      <c r="H44" s="23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3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3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23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3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3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3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3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3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3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3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  <c r="PS44" s="26"/>
      <c r="PT44" s="26"/>
    </row>
    <row r="45" spans="1:436" ht="15.75" thickBot="1" x14ac:dyDescent="0.3">
      <c r="A45" s="24"/>
      <c r="B45" s="25"/>
      <c r="C45" s="25"/>
      <c r="D45" s="25"/>
      <c r="E45" s="24"/>
      <c r="F45" s="24"/>
      <c r="G45" s="24"/>
      <c r="H45" s="23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3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3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23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3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3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3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3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3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3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3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  <c r="PS45" s="26"/>
      <c r="PT45" s="26"/>
    </row>
    <row r="46" spans="1:436" ht="15.75" thickBot="1" x14ac:dyDescent="0.3">
      <c r="A46" s="24"/>
      <c r="B46" s="25"/>
      <c r="C46" s="25"/>
      <c r="D46" s="25"/>
      <c r="E46" s="24"/>
      <c r="F46" s="24"/>
      <c r="G46" s="24"/>
      <c r="H46" s="23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3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3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23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3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3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3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3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3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3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3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  <c r="PS46" s="26"/>
      <c r="PT46" s="26"/>
    </row>
    <row r="47" spans="1:436" ht="15.75" thickBot="1" x14ac:dyDescent="0.3">
      <c r="A47" s="24"/>
      <c r="B47" s="25"/>
      <c r="C47" s="25"/>
      <c r="D47" s="25"/>
      <c r="E47" s="24"/>
      <c r="F47" s="24"/>
      <c r="G47" s="24"/>
      <c r="H47" s="23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3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3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23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3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3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3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3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3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3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3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</row>
    <row r="48" spans="1:436" ht="15.75" thickBot="1" x14ac:dyDescent="0.3">
      <c r="A48" s="24"/>
      <c r="B48" s="25"/>
      <c r="C48" s="25"/>
      <c r="D48" s="25"/>
      <c r="E48" s="24"/>
      <c r="F48" s="24"/>
      <c r="G48" s="24"/>
      <c r="H48" s="23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3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3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23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3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3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3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3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6"/>
      <c r="LG48" s="26"/>
      <c r="LH48" s="23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6"/>
      <c r="MT48" s="26"/>
      <c r="MU48" s="23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6"/>
      <c r="OG48" s="26"/>
      <c r="OH48" s="23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  <c r="PS48" s="26"/>
      <c r="PT48" s="26"/>
    </row>
    <row r="49" spans="1:436" ht="15.75" thickBot="1" x14ac:dyDescent="0.3">
      <c r="A49" s="24"/>
      <c r="B49" s="25"/>
      <c r="C49" s="25"/>
      <c r="D49" s="25"/>
      <c r="E49" s="24"/>
      <c r="F49" s="24"/>
      <c r="G49" s="24"/>
      <c r="H49" s="23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3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3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23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3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3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3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3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3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3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3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  <c r="PS49" s="26"/>
      <c r="PT49" s="26"/>
    </row>
    <row r="50" spans="1:436" ht="21.95" customHeight="1" thickBot="1" x14ac:dyDescent="0.3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  <c r="FU50" s="88"/>
      <c r="FV50" s="88"/>
      <c r="FW50" s="88"/>
      <c r="FX50" s="88"/>
      <c r="FY50" s="88"/>
      <c r="FZ50" s="88"/>
      <c r="GA50" s="88"/>
      <c r="GB50" s="88"/>
      <c r="GC50" s="88"/>
      <c r="GD50" s="88"/>
      <c r="GE50" s="88"/>
      <c r="GF50" s="88"/>
      <c r="GG50" s="88"/>
      <c r="GH50" s="88"/>
      <c r="GI50" s="88"/>
      <c r="GJ50" s="88"/>
      <c r="GK50" s="88"/>
      <c r="GL50" s="88"/>
      <c r="GM50" s="88"/>
      <c r="GN50" s="88"/>
      <c r="GO50" s="88"/>
      <c r="GP50" s="88"/>
      <c r="GQ50" s="88"/>
      <c r="GR50" s="88"/>
      <c r="GS50" s="88"/>
      <c r="GT50" s="88"/>
      <c r="GU50" s="88"/>
      <c r="GV50" s="88"/>
      <c r="GW50" s="88"/>
      <c r="GX50" s="88"/>
      <c r="GY50" s="88"/>
      <c r="GZ50" s="88"/>
      <c r="HA50" s="88"/>
      <c r="HB50" s="88"/>
      <c r="HC50" s="88"/>
      <c r="HD50" s="88"/>
      <c r="HE50" s="88"/>
      <c r="HF50" s="88"/>
      <c r="HG50" s="88"/>
      <c r="HH50" s="88"/>
      <c r="HI50" s="88"/>
      <c r="HJ50" s="88"/>
      <c r="HK50" s="88"/>
      <c r="HL50" s="88"/>
      <c r="HM50" s="88"/>
      <c r="HN50" s="88"/>
      <c r="HO50" s="88"/>
      <c r="HP50" s="88"/>
      <c r="HQ50" s="88"/>
      <c r="HR50" s="88"/>
      <c r="HS50" s="88"/>
      <c r="HT50" s="88"/>
      <c r="HU50" s="88"/>
      <c r="HV50" s="88"/>
      <c r="HW50" s="88"/>
      <c r="HX50" s="88"/>
      <c r="HY50" s="88"/>
      <c r="HZ50" s="88"/>
      <c r="IA50" s="88"/>
      <c r="IB50" s="88"/>
      <c r="IC50" s="88"/>
      <c r="ID50" s="88"/>
      <c r="IE50" s="88"/>
      <c r="IF50" s="88"/>
      <c r="IG50" s="88"/>
      <c r="IH50" s="88"/>
      <c r="II50" s="88"/>
      <c r="IJ50" s="88"/>
      <c r="IK50" s="88"/>
      <c r="IL50" s="88"/>
      <c r="IM50" s="88"/>
      <c r="IN50" s="88"/>
      <c r="IO50" s="88"/>
      <c r="IP50" s="88"/>
      <c r="IQ50" s="88"/>
      <c r="IR50" s="88"/>
      <c r="IS50" s="88"/>
      <c r="IT50" s="88"/>
      <c r="IU50" s="88"/>
      <c r="IV50" s="88"/>
      <c r="IW50" s="88"/>
      <c r="IX50" s="88"/>
      <c r="IY50" s="88"/>
      <c r="IZ50" s="88"/>
      <c r="JA50" s="88"/>
      <c r="JB50" s="88"/>
      <c r="JC50" s="88"/>
      <c r="JD50" s="88"/>
      <c r="JE50" s="88"/>
      <c r="JF50" s="88"/>
      <c r="JG50" s="88"/>
      <c r="JH50" s="88"/>
      <c r="JI50" s="88"/>
      <c r="JJ50" s="88"/>
      <c r="JK50" s="88"/>
      <c r="JL50" s="88"/>
      <c r="JM50" s="88"/>
      <c r="JN50" s="88"/>
      <c r="JO50" s="88"/>
      <c r="JP50" s="88"/>
      <c r="JQ50" s="88"/>
      <c r="JR50" s="88"/>
      <c r="JS50" s="88"/>
      <c r="JT50" s="88"/>
      <c r="JU50" s="88"/>
      <c r="JV50" s="88"/>
      <c r="JW50" s="88"/>
      <c r="JX50" s="88"/>
      <c r="JY50" s="88"/>
      <c r="JZ50" s="88"/>
      <c r="KA50" s="88"/>
      <c r="KB50" s="88"/>
      <c r="KC50" s="88"/>
      <c r="KD50" s="88"/>
      <c r="KE50" s="88"/>
      <c r="KF50" s="88"/>
      <c r="KG50" s="88"/>
      <c r="KH50" s="88"/>
      <c r="KI50" s="88"/>
      <c r="KJ50" s="88"/>
      <c r="KK50" s="88"/>
      <c r="KL50" s="88"/>
      <c r="KM50" s="88"/>
      <c r="KN50" s="88"/>
      <c r="KO50" s="88"/>
      <c r="KP50" s="88"/>
      <c r="KQ50" s="88"/>
      <c r="KR50" s="88"/>
      <c r="KS50" s="88"/>
      <c r="KT50" s="88"/>
      <c r="KU50" s="88"/>
      <c r="KV50" s="88"/>
      <c r="KW50" s="88"/>
      <c r="KX50" s="88"/>
      <c r="KY50" s="88"/>
      <c r="KZ50" s="88"/>
      <c r="LA50" s="88"/>
      <c r="LB50" s="88"/>
      <c r="LC50" s="88"/>
      <c r="LD50" s="88"/>
      <c r="LE50" s="88"/>
      <c r="LF50" s="88"/>
      <c r="LG50" s="88"/>
      <c r="LH50" s="88"/>
      <c r="LI50" s="88"/>
      <c r="LJ50" s="88"/>
      <c r="LK50" s="88"/>
      <c r="LL50" s="88"/>
      <c r="LM50" s="88"/>
      <c r="LN50" s="88"/>
      <c r="LO50" s="88"/>
      <c r="LP50" s="88"/>
      <c r="LQ50" s="88"/>
      <c r="LR50" s="88"/>
      <c r="LS50" s="88"/>
      <c r="LT50" s="88"/>
      <c r="LU50" s="88"/>
      <c r="LV50" s="88"/>
      <c r="LW50" s="88"/>
      <c r="LX50" s="88"/>
      <c r="LY50" s="88"/>
      <c r="LZ50" s="88"/>
      <c r="MA50" s="88"/>
      <c r="MB50" s="88"/>
      <c r="MC50" s="88"/>
      <c r="MD50" s="88"/>
      <c r="ME50" s="88"/>
      <c r="MF50" s="88"/>
      <c r="MG50" s="88"/>
      <c r="MH50" s="88"/>
      <c r="MI50" s="88"/>
      <c r="MJ50" s="88"/>
      <c r="MK50" s="88"/>
      <c r="ML50" s="88"/>
      <c r="MM50" s="88"/>
      <c r="MN50" s="88"/>
      <c r="MO50" s="88"/>
      <c r="MP50" s="88"/>
      <c r="MQ50" s="88"/>
      <c r="MR50" s="88"/>
      <c r="MS50" s="88"/>
      <c r="MT50" s="88"/>
      <c r="MU50" s="88"/>
      <c r="MV50" s="88"/>
      <c r="MW50" s="88"/>
      <c r="MX50" s="88"/>
      <c r="MY50" s="88"/>
      <c r="MZ50" s="88"/>
      <c r="NA50" s="88"/>
      <c r="NB50" s="88"/>
      <c r="NC50" s="88"/>
      <c r="ND50" s="88"/>
      <c r="NE50" s="88"/>
      <c r="NF50" s="88"/>
      <c r="NG50" s="88"/>
      <c r="NH50" s="88"/>
      <c r="NI50" s="88"/>
      <c r="NJ50" s="88"/>
      <c r="NK50" s="88"/>
      <c r="NL50" s="88"/>
      <c r="NM50" s="88"/>
      <c r="NN50" s="88"/>
      <c r="NO50" s="88"/>
      <c r="NP50" s="88"/>
      <c r="NQ50" s="88"/>
      <c r="NR50" s="88"/>
      <c r="NS50" s="88"/>
      <c r="NT50" s="88"/>
      <c r="NU50" s="88"/>
      <c r="NV50" s="88"/>
      <c r="NW50" s="88"/>
      <c r="NX50" s="88"/>
      <c r="NY50" s="88"/>
      <c r="NZ50" s="88"/>
      <c r="OA50" s="88"/>
      <c r="OB50" s="88"/>
      <c r="OC50" s="88"/>
      <c r="OD50" s="88"/>
      <c r="OE50" s="88"/>
      <c r="OF50" s="88"/>
      <c r="OG50" s="88"/>
      <c r="OH50" s="88"/>
      <c r="OI50" s="88"/>
      <c r="OJ50" s="88"/>
      <c r="OK50" s="88"/>
      <c r="OL50" s="88"/>
      <c r="OM50" s="88"/>
      <c r="ON50" s="88"/>
      <c r="OO50" s="88"/>
      <c r="OP50" s="88"/>
      <c r="OQ50" s="88"/>
      <c r="OR50" s="88"/>
      <c r="OS50" s="88"/>
      <c r="OT50" s="88"/>
      <c r="OU50" s="88"/>
      <c r="OV50" s="88"/>
      <c r="OW50" s="88"/>
      <c r="OX50" s="88"/>
      <c r="OY50" s="88"/>
      <c r="OZ50" s="88"/>
      <c r="PA50" s="88"/>
      <c r="PB50" s="88"/>
      <c r="PC50" s="88"/>
      <c r="PD50" s="88"/>
      <c r="PE50" s="88"/>
      <c r="PF50" s="88"/>
      <c r="PG50" s="88"/>
      <c r="PH50" s="88"/>
      <c r="PI50" s="88"/>
      <c r="PJ50" s="88"/>
      <c r="PK50" s="88"/>
      <c r="PL50" s="88"/>
      <c r="PM50" s="88"/>
      <c r="PN50" s="88"/>
      <c r="PO50" s="88"/>
      <c r="PP50" s="88"/>
      <c r="PQ50" s="88"/>
      <c r="PR50" s="88"/>
      <c r="PS50" s="88"/>
      <c r="PT50" s="89"/>
    </row>
    <row r="51" spans="1:436" ht="15.75" thickBot="1" x14ac:dyDescent="0.3">
      <c r="A51" s="24"/>
      <c r="B51" s="25"/>
      <c r="C51" s="25"/>
      <c r="D51" s="25"/>
      <c r="E51" s="24"/>
      <c r="F51" s="24"/>
      <c r="G51" s="24"/>
      <c r="H51" s="23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3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3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23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3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3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3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3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6"/>
      <c r="LG51" s="26"/>
      <c r="LH51" s="23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6"/>
      <c r="MT51" s="26"/>
      <c r="MU51" s="23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6"/>
      <c r="OG51" s="26"/>
      <c r="OH51" s="23"/>
      <c r="OI51" s="26"/>
      <c r="OJ51" s="26"/>
      <c r="OK51" s="26"/>
      <c r="OL51" s="26"/>
      <c r="OM51" s="26"/>
      <c r="ON51" s="26"/>
      <c r="OO51" s="26"/>
      <c r="OP51" s="26"/>
      <c r="OQ51" s="26"/>
      <c r="OR51" s="26"/>
      <c r="OS51" s="26"/>
      <c r="OT51" s="26"/>
      <c r="OU51" s="26"/>
      <c r="OV51" s="26"/>
      <c r="OW51" s="26"/>
      <c r="OX51" s="26"/>
      <c r="OY51" s="26"/>
      <c r="OZ51" s="26"/>
      <c r="PA51" s="26"/>
      <c r="PB51" s="26"/>
      <c r="PC51" s="26"/>
      <c r="PD51" s="26"/>
      <c r="PE51" s="26"/>
      <c r="PF51" s="26"/>
      <c r="PG51" s="26"/>
      <c r="PH51" s="26"/>
      <c r="PI51" s="26"/>
      <c r="PJ51" s="26"/>
      <c r="PK51" s="26"/>
      <c r="PL51" s="26"/>
      <c r="PM51" s="26"/>
      <c r="PN51" s="26"/>
      <c r="PO51" s="26"/>
      <c r="PP51" s="26"/>
      <c r="PQ51" s="26"/>
      <c r="PR51" s="26"/>
      <c r="PS51" s="26"/>
      <c r="PT51" s="26"/>
    </row>
    <row r="52" spans="1:436" ht="15.75" thickBot="1" x14ac:dyDescent="0.3">
      <c r="A52" s="24"/>
      <c r="B52" s="25"/>
      <c r="C52" s="25"/>
      <c r="D52" s="25"/>
      <c r="E52" s="24"/>
      <c r="F52" s="24"/>
      <c r="G52" s="24"/>
      <c r="H52" s="23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3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3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23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3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3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3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3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6"/>
      <c r="LG52" s="26"/>
      <c r="LH52" s="23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6"/>
      <c r="MT52" s="26"/>
      <c r="MU52" s="23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6"/>
      <c r="OG52" s="26"/>
      <c r="OH52" s="23"/>
      <c r="OI52" s="26"/>
      <c r="OJ52" s="26"/>
      <c r="OK52" s="26"/>
      <c r="OL52" s="26"/>
      <c r="OM52" s="26"/>
      <c r="ON52" s="26"/>
      <c r="OO52" s="26"/>
      <c r="OP52" s="26"/>
      <c r="OQ52" s="26"/>
      <c r="OR52" s="26"/>
      <c r="OS52" s="26"/>
      <c r="OT52" s="26"/>
      <c r="OU52" s="26"/>
      <c r="OV52" s="26"/>
      <c r="OW52" s="26"/>
      <c r="OX52" s="26"/>
      <c r="OY52" s="26"/>
      <c r="OZ52" s="26"/>
      <c r="PA52" s="26"/>
      <c r="PB52" s="26"/>
      <c r="PC52" s="26"/>
      <c r="PD52" s="26"/>
      <c r="PE52" s="26"/>
      <c r="PF52" s="26"/>
      <c r="PG52" s="26"/>
      <c r="PH52" s="26"/>
      <c r="PI52" s="26"/>
      <c r="PJ52" s="26"/>
      <c r="PK52" s="26"/>
      <c r="PL52" s="26"/>
      <c r="PM52" s="26"/>
      <c r="PN52" s="26"/>
      <c r="PO52" s="26"/>
      <c r="PP52" s="26"/>
      <c r="PQ52" s="26"/>
      <c r="PR52" s="26"/>
      <c r="PS52" s="26"/>
      <c r="PT52" s="26"/>
    </row>
    <row r="53" spans="1:436" ht="15.75" thickBot="1" x14ac:dyDescent="0.3">
      <c r="A53" s="24"/>
      <c r="B53" s="25"/>
      <c r="C53" s="25"/>
      <c r="D53" s="25"/>
      <c r="E53" s="24"/>
      <c r="F53" s="24"/>
      <c r="G53" s="24"/>
      <c r="H53" s="23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3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3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23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3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3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3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3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3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3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6"/>
      <c r="OG53" s="26"/>
      <c r="OH53" s="23"/>
      <c r="OI53" s="26"/>
      <c r="OJ53" s="26"/>
      <c r="OK53" s="26"/>
      <c r="OL53" s="26"/>
      <c r="OM53" s="26"/>
      <c r="ON53" s="26"/>
      <c r="OO53" s="26"/>
      <c r="OP53" s="26"/>
      <c r="OQ53" s="26"/>
      <c r="OR53" s="26"/>
      <c r="OS53" s="26"/>
      <c r="OT53" s="26"/>
      <c r="OU53" s="26"/>
      <c r="OV53" s="26"/>
      <c r="OW53" s="26"/>
      <c r="OX53" s="26"/>
      <c r="OY53" s="26"/>
      <c r="OZ53" s="26"/>
      <c r="PA53" s="26"/>
      <c r="PB53" s="26"/>
      <c r="PC53" s="26"/>
      <c r="PD53" s="26"/>
      <c r="PE53" s="26"/>
      <c r="PF53" s="26"/>
      <c r="PG53" s="26"/>
      <c r="PH53" s="26"/>
      <c r="PI53" s="26"/>
      <c r="PJ53" s="26"/>
      <c r="PK53" s="26"/>
      <c r="PL53" s="26"/>
      <c r="PM53" s="26"/>
      <c r="PN53" s="26"/>
      <c r="PO53" s="26"/>
      <c r="PP53" s="26"/>
      <c r="PQ53" s="26"/>
      <c r="PR53" s="26"/>
      <c r="PS53" s="26"/>
      <c r="PT53" s="26"/>
    </row>
    <row r="54" spans="1:436" ht="15.75" thickBot="1" x14ac:dyDescent="0.3">
      <c r="A54" s="24"/>
      <c r="B54" s="25"/>
      <c r="C54" s="25"/>
      <c r="D54" s="25"/>
      <c r="E54" s="24"/>
      <c r="F54" s="24"/>
      <c r="G54" s="24"/>
      <c r="H54" s="23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3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3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23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3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3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3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3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6"/>
      <c r="LG54" s="26"/>
      <c r="LH54" s="23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6"/>
      <c r="MT54" s="26"/>
      <c r="MU54" s="23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6"/>
      <c r="OG54" s="26"/>
      <c r="OH54" s="23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  <c r="PS54" s="26"/>
      <c r="PT54" s="26"/>
    </row>
    <row r="55" spans="1:436" ht="15.75" thickBot="1" x14ac:dyDescent="0.3">
      <c r="A55" s="24"/>
      <c r="B55" s="25"/>
      <c r="C55" s="25"/>
      <c r="D55" s="25"/>
      <c r="E55" s="24"/>
      <c r="F55" s="24"/>
      <c r="G55" s="24"/>
      <c r="H55" s="23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3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3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23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3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3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3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3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6"/>
      <c r="KR55" s="26"/>
      <c r="KS55" s="26"/>
      <c r="KT55" s="26"/>
      <c r="KU55" s="26"/>
      <c r="KV55" s="26"/>
      <c r="KW55" s="26"/>
      <c r="KX55" s="26"/>
      <c r="KY55" s="26"/>
      <c r="KZ55" s="26"/>
      <c r="LA55" s="26"/>
      <c r="LB55" s="26"/>
      <c r="LC55" s="26"/>
      <c r="LD55" s="26"/>
      <c r="LE55" s="26"/>
      <c r="LF55" s="26"/>
      <c r="LG55" s="26"/>
      <c r="LH55" s="23"/>
      <c r="LI55" s="26"/>
      <c r="LJ55" s="26"/>
      <c r="LK55" s="26"/>
      <c r="LL55" s="26"/>
      <c r="LM55" s="26"/>
      <c r="LN55" s="26"/>
      <c r="LO55" s="26"/>
      <c r="LP55" s="26"/>
      <c r="LQ55" s="26"/>
      <c r="LR55" s="26"/>
      <c r="LS55" s="26"/>
      <c r="LT55" s="26"/>
      <c r="LU55" s="26"/>
      <c r="LV55" s="26"/>
      <c r="LW55" s="26"/>
      <c r="LX55" s="26"/>
      <c r="LY55" s="26"/>
      <c r="LZ55" s="26"/>
      <c r="MA55" s="26"/>
      <c r="MB55" s="26"/>
      <c r="MC55" s="26"/>
      <c r="MD55" s="26"/>
      <c r="ME55" s="26"/>
      <c r="MF55" s="26"/>
      <c r="MG55" s="26"/>
      <c r="MH55" s="26"/>
      <c r="MI55" s="26"/>
      <c r="MJ55" s="26"/>
      <c r="MK55" s="26"/>
      <c r="ML55" s="26"/>
      <c r="MM55" s="26"/>
      <c r="MN55" s="26"/>
      <c r="MO55" s="26"/>
      <c r="MP55" s="26"/>
      <c r="MQ55" s="26"/>
      <c r="MR55" s="26"/>
      <c r="MS55" s="26"/>
      <c r="MT55" s="26"/>
      <c r="MU55" s="23"/>
      <c r="MV55" s="26"/>
      <c r="MW55" s="26"/>
      <c r="MX55" s="26"/>
      <c r="MY55" s="26"/>
      <c r="MZ55" s="26"/>
      <c r="NA55" s="26"/>
      <c r="NB55" s="26"/>
      <c r="NC55" s="26"/>
      <c r="ND55" s="26"/>
      <c r="NE55" s="26"/>
      <c r="NF55" s="26"/>
      <c r="NG55" s="26"/>
      <c r="NH55" s="26"/>
      <c r="NI55" s="26"/>
      <c r="NJ55" s="26"/>
      <c r="NK55" s="26"/>
      <c r="NL55" s="26"/>
      <c r="NM55" s="26"/>
      <c r="NN55" s="26"/>
      <c r="NO55" s="26"/>
      <c r="NP55" s="26"/>
      <c r="NQ55" s="26"/>
      <c r="NR55" s="26"/>
      <c r="NS55" s="26"/>
      <c r="NT55" s="26"/>
      <c r="NU55" s="26"/>
      <c r="NV55" s="26"/>
      <c r="NW55" s="26"/>
      <c r="NX55" s="26"/>
      <c r="NY55" s="26"/>
      <c r="NZ55" s="26"/>
      <c r="OA55" s="26"/>
      <c r="OB55" s="26"/>
      <c r="OC55" s="26"/>
      <c r="OD55" s="26"/>
      <c r="OE55" s="26"/>
      <c r="OF55" s="26"/>
      <c r="OG55" s="26"/>
      <c r="OH55" s="23"/>
      <c r="OI55" s="26"/>
      <c r="OJ55" s="26"/>
      <c r="OK55" s="26"/>
      <c r="OL55" s="26"/>
      <c r="OM55" s="26"/>
      <c r="ON55" s="26"/>
      <c r="OO55" s="26"/>
      <c r="OP55" s="26"/>
      <c r="OQ55" s="26"/>
      <c r="OR55" s="26"/>
      <c r="OS55" s="26"/>
      <c r="OT55" s="26"/>
      <c r="OU55" s="26"/>
      <c r="OV55" s="26"/>
      <c r="OW55" s="26"/>
      <c r="OX55" s="26"/>
      <c r="OY55" s="26"/>
      <c r="OZ55" s="26"/>
      <c r="PA55" s="26"/>
      <c r="PB55" s="26"/>
      <c r="PC55" s="26"/>
      <c r="PD55" s="26"/>
      <c r="PE55" s="26"/>
      <c r="PF55" s="26"/>
      <c r="PG55" s="26"/>
      <c r="PH55" s="26"/>
      <c r="PI55" s="26"/>
      <c r="PJ55" s="26"/>
      <c r="PK55" s="26"/>
      <c r="PL55" s="26"/>
      <c r="PM55" s="26"/>
      <c r="PN55" s="26"/>
      <c r="PO55" s="26"/>
      <c r="PP55" s="26"/>
      <c r="PQ55" s="26"/>
      <c r="PR55" s="26"/>
      <c r="PS55" s="26"/>
      <c r="PT55" s="26"/>
    </row>
    <row r="56" spans="1:436" ht="15.75" thickBot="1" x14ac:dyDescent="0.3">
      <c r="A56" s="24"/>
      <c r="B56" s="25"/>
      <c r="C56" s="25"/>
      <c r="D56" s="25"/>
      <c r="E56" s="24"/>
      <c r="F56" s="24"/>
      <c r="G56" s="24"/>
      <c r="H56" s="23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3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3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23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3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3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3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3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  <c r="KT56" s="26"/>
      <c r="KU56" s="26"/>
      <c r="KV56" s="26"/>
      <c r="KW56" s="26"/>
      <c r="KX56" s="26"/>
      <c r="KY56" s="26"/>
      <c r="KZ56" s="26"/>
      <c r="LA56" s="26"/>
      <c r="LB56" s="26"/>
      <c r="LC56" s="26"/>
      <c r="LD56" s="26"/>
      <c r="LE56" s="26"/>
      <c r="LF56" s="26"/>
      <c r="LG56" s="26"/>
      <c r="LH56" s="23"/>
      <c r="LI56" s="26"/>
      <c r="LJ56" s="26"/>
      <c r="LK56" s="26"/>
      <c r="LL56" s="26"/>
      <c r="LM56" s="26"/>
      <c r="LN56" s="26"/>
      <c r="LO56" s="26"/>
      <c r="LP56" s="26"/>
      <c r="LQ56" s="26"/>
      <c r="LR56" s="26"/>
      <c r="LS56" s="26"/>
      <c r="LT56" s="26"/>
      <c r="LU56" s="26"/>
      <c r="LV56" s="26"/>
      <c r="LW56" s="26"/>
      <c r="LX56" s="26"/>
      <c r="LY56" s="26"/>
      <c r="LZ56" s="26"/>
      <c r="MA56" s="26"/>
      <c r="MB56" s="26"/>
      <c r="MC56" s="26"/>
      <c r="MD56" s="26"/>
      <c r="ME56" s="26"/>
      <c r="MF56" s="26"/>
      <c r="MG56" s="26"/>
      <c r="MH56" s="26"/>
      <c r="MI56" s="26"/>
      <c r="MJ56" s="26"/>
      <c r="MK56" s="26"/>
      <c r="ML56" s="26"/>
      <c r="MM56" s="26"/>
      <c r="MN56" s="26"/>
      <c r="MO56" s="26"/>
      <c r="MP56" s="26"/>
      <c r="MQ56" s="26"/>
      <c r="MR56" s="26"/>
      <c r="MS56" s="26"/>
      <c r="MT56" s="26"/>
      <c r="MU56" s="23"/>
      <c r="MV56" s="26"/>
      <c r="MW56" s="26"/>
      <c r="MX56" s="26"/>
      <c r="MY56" s="26"/>
      <c r="MZ56" s="26"/>
      <c r="NA56" s="26"/>
      <c r="NB56" s="26"/>
      <c r="NC56" s="26"/>
      <c r="ND56" s="26"/>
      <c r="NE56" s="26"/>
      <c r="NF56" s="26"/>
      <c r="NG56" s="26"/>
      <c r="NH56" s="26"/>
      <c r="NI56" s="26"/>
      <c r="NJ56" s="26"/>
      <c r="NK56" s="26"/>
      <c r="NL56" s="26"/>
      <c r="NM56" s="26"/>
      <c r="NN56" s="26"/>
      <c r="NO56" s="26"/>
      <c r="NP56" s="26"/>
      <c r="NQ56" s="26"/>
      <c r="NR56" s="26"/>
      <c r="NS56" s="26"/>
      <c r="NT56" s="26"/>
      <c r="NU56" s="26"/>
      <c r="NV56" s="26"/>
      <c r="NW56" s="26"/>
      <c r="NX56" s="26"/>
      <c r="NY56" s="26"/>
      <c r="NZ56" s="26"/>
      <c r="OA56" s="26"/>
      <c r="OB56" s="26"/>
      <c r="OC56" s="26"/>
      <c r="OD56" s="26"/>
      <c r="OE56" s="26"/>
      <c r="OF56" s="26"/>
      <c r="OG56" s="26"/>
      <c r="OH56" s="23"/>
      <c r="OI56" s="26"/>
      <c r="OJ56" s="26"/>
      <c r="OK56" s="26"/>
      <c r="OL56" s="26"/>
      <c r="OM56" s="26"/>
      <c r="ON56" s="26"/>
      <c r="OO56" s="26"/>
      <c r="OP56" s="26"/>
      <c r="OQ56" s="26"/>
      <c r="OR56" s="26"/>
      <c r="OS56" s="26"/>
      <c r="OT56" s="26"/>
      <c r="OU56" s="26"/>
      <c r="OV56" s="26"/>
      <c r="OW56" s="26"/>
      <c r="OX56" s="26"/>
      <c r="OY56" s="26"/>
      <c r="OZ56" s="26"/>
      <c r="PA56" s="26"/>
      <c r="PB56" s="26"/>
      <c r="PC56" s="26"/>
      <c r="PD56" s="26"/>
      <c r="PE56" s="26"/>
      <c r="PF56" s="26"/>
      <c r="PG56" s="26"/>
      <c r="PH56" s="26"/>
      <c r="PI56" s="26"/>
      <c r="PJ56" s="26"/>
      <c r="PK56" s="26"/>
      <c r="PL56" s="26"/>
      <c r="PM56" s="26"/>
      <c r="PN56" s="26"/>
      <c r="PO56" s="26"/>
      <c r="PP56" s="26"/>
      <c r="PQ56" s="26"/>
      <c r="PR56" s="26"/>
      <c r="PS56" s="26"/>
      <c r="PT56" s="26"/>
    </row>
    <row r="57" spans="1:436" ht="15.75" thickBot="1" x14ac:dyDescent="0.3">
      <c r="A57" s="24"/>
      <c r="B57" s="25"/>
      <c r="C57" s="25"/>
      <c r="D57" s="25"/>
      <c r="E57" s="24"/>
      <c r="F57" s="24"/>
      <c r="G57" s="24"/>
      <c r="H57" s="23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3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3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23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3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3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3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3"/>
      <c r="JV57" s="26"/>
      <c r="JW57" s="26"/>
      <c r="JX57" s="26"/>
      <c r="JY57" s="26"/>
      <c r="JZ57" s="26"/>
      <c r="KA57" s="26"/>
      <c r="KB57" s="26"/>
      <c r="KC57" s="26"/>
      <c r="KD57" s="26"/>
      <c r="KE57" s="26"/>
      <c r="KF57" s="26"/>
      <c r="KG57" s="26"/>
      <c r="KH57" s="26"/>
      <c r="KI57" s="26"/>
      <c r="KJ57" s="26"/>
      <c r="KK57" s="26"/>
      <c r="KL57" s="26"/>
      <c r="KM57" s="26"/>
      <c r="KN57" s="26"/>
      <c r="KO57" s="26"/>
      <c r="KP57" s="26"/>
      <c r="KQ57" s="26"/>
      <c r="KR57" s="26"/>
      <c r="KS57" s="26"/>
      <c r="KT57" s="26"/>
      <c r="KU57" s="26"/>
      <c r="KV57" s="26"/>
      <c r="KW57" s="26"/>
      <c r="KX57" s="26"/>
      <c r="KY57" s="26"/>
      <c r="KZ57" s="26"/>
      <c r="LA57" s="26"/>
      <c r="LB57" s="26"/>
      <c r="LC57" s="26"/>
      <c r="LD57" s="26"/>
      <c r="LE57" s="26"/>
      <c r="LF57" s="26"/>
      <c r="LG57" s="26"/>
      <c r="LH57" s="23"/>
      <c r="LI57" s="26"/>
      <c r="LJ57" s="26"/>
      <c r="LK57" s="26"/>
      <c r="LL57" s="26"/>
      <c r="LM57" s="26"/>
      <c r="LN57" s="26"/>
      <c r="LO57" s="26"/>
      <c r="LP57" s="26"/>
      <c r="LQ57" s="26"/>
      <c r="LR57" s="26"/>
      <c r="LS57" s="26"/>
      <c r="LT57" s="26"/>
      <c r="LU57" s="26"/>
      <c r="LV57" s="26"/>
      <c r="LW57" s="26"/>
      <c r="LX57" s="26"/>
      <c r="LY57" s="26"/>
      <c r="LZ57" s="26"/>
      <c r="MA57" s="26"/>
      <c r="MB57" s="26"/>
      <c r="MC57" s="26"/>
      <c r="MD57" s="26"/>
      <c r="ME57" s="26"/>
      <c r="MF57" s="26"/>
      <c r="MG57" s="26"/>
      <c r="MH57" s="26"/>
      <c r="MI57" s="26"/>
      <c r="MJ57" s="26"/>
      <c r="MK57" s="26"/>
      <c r="ML57" s="26"/>
      <c r="MM57" s="26"/>
      <c r="MN57" s="26"/>
      <c r="MO57" s="26"/>
      <c r="MP57" s="26"/>
      <c r="MQ57" s="26"/>
      <c r="MR57" s="26"/>
      <c r="MS57" s="26"/>
      <c r="MT57" s="26"/>
      <c r="MU57" s="23"/>
      <c r="MV57" s="26"/>
      <c r="MW57" s="26"/>
      <c r="MX57" s="26"/>
      <c r="MY57" s="26"/>
      <c r="MZ57" s="26"/>
      <c r="NA57" s="26"/>
      <c r="NB57" s="26"/>
      <c r="NC57" s="26"/>
      <c r="ND57" s="26"/>
      <c r="NE57" s="26"/>
      <c r="NF57" s="26"/>
      <c r="NG57" s="26"/>
      <c r="NH57" s="26"/>
      <c r="NI57" s="26"/>
      <c r="NJ57" s="26"/>
      <c r="NK57" s="26"/>
      <c r="NL57" s="26"/>
      <c r="NM57" s="26"/>
      <c r="NN57" s="26"/>
      <c r="NO57" s="26"/>
      <c r="NP57" s="26"/>
      <c r="NQ57" s="26"/>
      <c r="NR57" s="26"/>
      <c r="NS57" s="26"/>
      <c r="NT57" s="26"/>
      <c r="NU57" s="26"/>
      <c r="NV57" s="26"/>
      <c r="NW57" s="26"/>
      <c r="NX57" s="26"/>
      <c r="NY57" s="26"/>
      <c r="NZ57" s="26"/>
      <c r="OA57" s="26"/>
      <c r="OB57" s="26"/>
      <c r="OC57" s="26"/>
      <c r="OD57" s="26"/>
      <c r="OE57" s="26"/>
      <c r="OF57" s="26"/>
      <c r="OG57" s="26"/>
      <c r="OH57" s="23"/>
      <c r="OI57" s="26"/>
      <c r="OJ57" s="26"/>
      <c r="OK57" s="26"/>
      <c r="OL57" s="26"/>
      <c r="OM57" s="26"/>
      <c r="ON57" s="26"/>
      <c r="OO57" s="26"/>
      <c r="OP57" s="26"/>
      <c r="OQ57" s="26"/>
      <c r="OR57" s="26"/>
      <c r="OS57" s="26"/>
      <c r="OT57" s="26"/>
      <c r="OU57" s="26"/>
      <c r="OV57" s="26"/>
      <c r="OW57" s="26"/>
      <c r="OX57" s="26"/>
      <c r="OY57" s="26"/>
      <c r="OZ57" s="26"/>
      <c r="PA57" s="26"/>
      <c r="PB57" s="26"/>
      <c r="PC57" s="26"/>
      <c r="PD57" s="26"/>
      <c r="PE57" s="26"/>
      <c r="PF57" s="26"/>
      <c r="PG57" s="26"/>
      <c r="PH57" s="26"/>
      <c r="PI57" s="26"/>
      <c r="PJ57" s="26"/>
      <c r="PK57" s="26"/>
      <c r="PL57" s="26"/>
      <c r="PM57" s="26"/>
      <c r="PN57" s="26"/>
      <c r="PO57" s="26"/>
      <c r="PP57" s="26"/>
      <c r="PQ57" s="26"/>
      <c r="PR57" s="26"/>
      <c r="PS57" s="26"/>
      <c r="PT57" s="26"/>
    </row>
    <row r="58" spans="1:436" ht="15.75" thickBot="1" x14ac:dyDescent="0.3">
      <c r="A58" s="24"/>
      <c r="B58" s="25"/>
      <c r="C58" s="25"/>
      <c r="D58" s="25"/>
      <c r="E58" s="24"/>
      <c r="F58" s="24"/>
      <c r="G58" s="24"/>
      <c r="H58" s="23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3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3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23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3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3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3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6"/>
      <c r="JT58" s="26"/>
      <c r="JU58" s="23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  <c r="KO58" s="26"/>
      <c r="KP58" s="26"/>
      <c r="KQ58" s="26"/>
      <c r="KR58" s="26"/>
      <c r="KS58" s="26"/>
      <c r="KT58" s="26"/>
      <c r="KU58" s="26"/>
      <c r="KV58" s="26"/>
      <c r="KW58" s="26"/>
      <c r="KX58" s="26"/>
      <c r="KY58" s="26"/>
      <c r="KZ58" s="26"/>
      <c r="LA58" s="26"/>
      <c r="LB58" s="26"/>
      <c r="LC58" s="26"/>
      <c r="LD58" s="26"/>
      <c r="LE58" s="26"/>
      <c r="LF58" s="26"/>
      <c r="LG58" s="26"/>
      <c r="LH58" s="23"/>
      <c r="LI58" s="26"/>
      <c r="LJ58" s="26"/>
      <c r="LK58" s="26"/>
      <c r="LL58" s="26"/>
      <c r="LM58" s="26"/>
      <c r="LN58" s="26"/>
      <c r="LO58" s="26"/>
      <c r="LP58" s="26"/>
      <c r="LQ58" s="26"/>
      <c r="LR58" s="26"/>
      <c r="LS58" s="26"/>
      <c r="LT58" s="26"/>
      <c r="LU58" s="26"/>
      <c r="LV58" s="26"/>
      <c r="LW58" s="26"/>
      <c r="LX58" s="26"/>
      <c r="LY58" s="26"/>
      <c r="LZ58" s="26"/>
      <c r="MA58" s="26"/>
      <c r="MB58" s="26"/>
      <c r="MC58" s="26"/>
      <c r="MD58" s="26"/>
      <c r="ME58" s="26"/>
      <c r="MF58" s="26"/>
      <c r="MG58" s="26"/>
      <c r="MH58" s="26"/>
      <c r="MI58" s="26"/>
      <c r="MJ58" s="26"/>
      <c r="MK58" s="26"/>
      <c r="ML58" s="26"/>
      <c r="MM58" s="26"/>
      <c r="MN58" s="26"/>
      <c r="MO58" s="26"/>
      <c r="MP58" s="26"/>
      <c r="MQ58" s="26"/>
      <c r="MR58" s="26"/>
      <c r="MS58" s="26"/>
      <c r="MT58" s="26"/>
      <c r="MU58" s="23"/>
      <c r="MV58" s="26"/>
      <c r="MW58" s="26"/>
      <c r="MX58" s="26"/>
      <c r="MY58" s="26"/>
      <c r="MZ58" s="26"/>
      <c r="NA58" s="26"/>
      <c r="NB58" s="26"/>
      <c r="NC58" s="26"/>
      <c r="ND58" s="26"/>
      <c r="NE58" s="26"/>
      <c r="NF58" s="26"/>
      <c r="NG58" s="26"/>
      <c r="NH58" s="26"/>
      <c r="NI58" s="26"/>
      <c r="NJ58" s="26"/>
      <c r="NK58" s="26"/>
      <c r="NL58" s="26"/>
      <c r="NM58" s="26"/>
      <c r="NN58" s="26"/>
      <c r="NO58" s="26"/>
      <c r="NP58" s="26"/>
      <c r="NQ58" s="26"/>
      <c r="NR58" s="26"/>
      <c r="NS58" s="26"/>
      <c r="NT58" s="26"/>
      <c r="NU58" s="26"/>
      <c r="NV58" s="26"/>
      <c r="NW58" s="26"/>
      <c r="NX58" s="26"/>
      <c r="NY58" s="26"/>
      <c r="NZ58" s="26"/>
      <c r="OA58" s="26"/>
      <c r="OB58" s="26"/>
      <c r="OC58" s="26"/>
      <c r="OD58" s="26"/>
      <c r="OE58" s="26"/>
      <c r="OF58" s="26"/>
      <c r="OG58" s="26"/>
      <c r="OH58" s="23"/>
      <c r="OI58" s="26"/>
      <c r="OJ58" s="26"/>
      <c r="OK58" s="26"/>
      <c r="OL58" s="26"/>
      <c r="OM58" s="26"/>
      <c r="ON58" s="26"/>
      <c r="OO58" s="26"/>
      <c r="OP58" s="26"/>
      <c r="OQ58" s="26"/>
      <c r="OR58" s="26"/>
      <c r="OS58" s="26"/>
      <c r="OT58" s="26"/>
      <c r="OU58" s="26"/>
      <c r="OV58" s="26"/>
      <c r="OW58" s="26"/>
      <c r="OX58" s="26"/>
      <c r="OY58" s="26"/>
      <c r="OZ58" s="26"/>
      <c r="PA58" s="26"/>
      <c r="PB58" s="26"/>
      <c r="PC58" s="26"/>
      <c r="PD58" s="26"/>
      <c r="PE58" s="26"/>
      <c r="PF58" s="26"/>
      <c r="PG58" s="26"/>
      <c r="PH58" s="26"/>
      <c r="PI58" s="26"/>
      <c r="PJ58" s="26"/>
      <c r="PK58" s="26"/>
      <c r="PL58" s="26"/>
      <c r="PM58" s="26"/>
      <c r="PN58" s="26"/>
      <c r="PO58" s="26"/>
      <c r="PP58" s="26"/>
      <c r="PQ58" s="26"/>
      <c r="PR58" s="26"/>
      <c r="PS58" s="26"/>
      <c r="PT58" s="26"/>
    </row>
    <row r="59" spans="1:436" ht="15.75" thickBot="1" x14ac:dyDescent="0.3">
      <c r="A59" s="24"/>
      <c r="B59" s="25"/>
      <c r="C59" s="25"/>
      <c r="D59" s="25"/>
      <c r="E59" s="24"/>
      <c r="F59" s="24"/>
      <c r="G59" s="24"/>
      <c r="H59" s="23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3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3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23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3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3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3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3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6"/>
      <c r="KR59" s="26"/>
      <c r="KS59" s="26"/>
      <c r="KT59" s="26"/>
      <c r="KU59" s="26"/>
      <c r="KV59" s="26"/>
      <c r="KW59" s="26"/>
      <c r="KX59" s="26"/>
      <c r="KY59" s="26"/>
      <c r="KZ59" s="26"/>
      <c r="LA59" s="26"/>
      <c r="LB59" s="26"/>
      <c r="LC59" s="26"/>
      <c r="LD59" s="26"/>
      <c r="LE59" s="26"/>
      <c r="LF59" s="26"/>
      <c r="LG59" s="26"/>
      <c r="LH59" s="23"/>
      <c r="LI59" s="26"/>
      <c r="LJ59" s="26"/>
      <c r="LK59" s="26"/>
      <c r="LL59" s="26"/>
      <c r="LM59" s="26"/>
      <c r="LN59" s="26"/>
      <c r="LO59" s="26"/>
      <c r="LP59" s="26"/>
      <c r="LQ59" s="26"/>
      <c r="LR59" s="26"/>
      <c r="LS59" s="26"/>
      <c r="LT59" s="26"/>
      <c r="LU59" s="26"/>
      <c r="LV59" s="26"/>
      <c r="LW59" s="26"/>
      <c r="LX59" s="26"/>
      <c r="LY59" s="26"/>
      <c r="LZ59" s="26"/>
      <c r="MA59" s="26"/>
      <c r="MB59" s="26"/>
      <c r="MC59" s="26"/>
      <c r="MD59" s="26"/>
      <c r="ME59" s="26"/>
      <c r="MF59" s="26"/>
      <c r="MG59" s="26"/>
      <c r="MH59" s="26"/>
      <c r="MI59" s="26"/>
      <c r="MJ59" s="26"/>
      <c r="MK59" s="26"/>
      <c r="ML59" s="26"/>
      <c r="MM59" s="26"/>
      <c r="MN59" s="26"/>
      <c r="MO59" s="26"/>
      <c r="MP59" s="26"/>
      <c r="MQ59" s="26"/>
      <c r="MR59" s="26"/>
      <c r="MS59" s="26"/>
      <c r="MT59" s="26"/>
      <c r="MU59" s="23"/>
      <c r="MV59" s="26"/>
      <c r="MW59" s="26"/>
      <c r="MX59" s="26"/>
      <c r="MY59" s="26"/>
      <c r="MZ59" s="26"/>
      <c r="NA59" s="26"/>
      <c r="NB59" s="26"/>
      <c r="NC59" s="26"/>
      <c r="ND59" s="26"/>
      <c r="NE59" s="26"/>
      <c r="NF59" s="26"/>
      <c r="NG59" s="26"/>
      <c r="NH59" s="26"/>
      <c r="NI59" s="26"/>
      <c r="NJ59" s="26"/>
      <c r="NK59" s="26"/>
      <c r="NL59" s="26"/>
      <c r="NM59" s="26"/>
      <c r="NN59" s="26"/>
      <c r="NO59" s="26"/>
      <c r="NP59" s="26"/>
      <c r="NQ59" s="26"/>
      <c r="NR59" s="26"/>
      <c r="NS59" s="26"/>
      <c r="NT59" s="26"/>
      <c r="NU59" s="26"/>
      <c r="NV59" s="26"/>
      <c r="NW59" s="26"/>
      <c r="NX59" s="26"/>
      <c r="NY59" s="26"/>
      <c r="NZ59" s="26"/>
      <c r="OA59" s="26"/>
      <c r="OB59" s="26"/>
      <c r="OC59" s="26"/>
      <c r="OD59" s="26"/>
      <c r="OE59" s="26"/>
      <c r="OF59" s="26"/>
      <c r="OG59" s="26"/>
      <c r="OH59" s="23"/>
      <c r="OI59" s="26"/>
      <c r="OJ59" s="26"/>
      <c r="OK59" s="26"/>
      <c r="OL59" s="26"/>
      <c r="OM59" s="26"/>
      <c r="ON59" s="26"/>
      <c r="OO59" s="26"/>
      <c r="OP59" s="26"/>
      <c r="OQ59" s="26"/>
      <c r="OR59" s="26"/>
      <c r="OS59" s="26"/>
      <c r="OT59" s="26"/>
      <c r="OU59" s="26"/>
      <c r="OV59" s="26"/>
      <c r="OW59" s="26"/>
      <c r="OX59" s="26"/>
      <c r="OY59" s="26"/>
      <c r="OZ59" s="26"/>
      <c r="PA59" s="26"/>
      <c r="PB59" s="26"/>
      <c r="PC59" s="26"/>
      <c r="PD59" s="26"/>
      <c r="PE59" s="26"/>
      <c r="PF59" s="26"/>
      <c r="PG59" s="26"/>
      <c r="PH59" s="26"/>
      <c r="PI59" s="26"/>
      <c r="PJ59" s="26"/>
      <c r="PK59" s="26"/>
      <c r="PL59" s="26"/>
      <c r="PM59" s="26"/>
      <c r="PN59" s="26"/>
      <c r="PO59" s="26"/>
      <c r="PP59" s="26"/>
      <c r="PQ59" s="26"/>
      <c r="PR59" s="26"/>
      <c r="PS59" s="26"/>
      <c r="PT59" s="26"/>
    </row>
    <row r="60" spans="1:436" ht="21.95" customHeight="1" thickBot="1" x14ac:dyDescent="0.3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  <c r="FU60" s="88"/>
      <c r="FV60" s="88"/>
      <c r="FW60" s="88"/>
      <c r="FX60" s="88"/>
      <c r="FY60" s="88"/>
      <c r="FZ60" s="88"/>
      <c r="GA60" s="88"/>
      <c r="GB60" s="88"/>
      <c r="GC60" s="88"/>
      <c r="GD60" s="88"/>
      <c r="GE60" s="88"/>
      <c r="GF60" s="88"/>
      <c r="GG60" s="88"/>
      <c r="GH60" s="88"/>
      <c r="GI60" s="88"/>
      <c r="GJ60" s="88"/>
      <c r="GK60" s="88"/>
      <c r="GL60" s="88"/>
      <c r="GM60" s="88"/>
      <c r="GN60" s="88"/>
      <c r="GO60" s="88"/>
      <c r="GP60" s="88"/>
      <c r="GQ60" s="88"/>
      <c r="GR60" s="88"/>
      <c r="GS60" s="88"/>
      <c r="GT60" s="88"/>
      <c r="GU60" s="88"/>
      <c r="GV60" s="88"/>
      <c r="GW60" s="88"/>
      <c r="GX60" s="88"/>
      <c r="GY60" s="88"/>
      <c r="GZ60" s="88"/>
      <c r="HA60" s="88"/>
      <c r="HB60" s="88"/>
      <c r="HC60" s="88"/>
      <c r="HD60" s="88"/>
      <c r="HE60" s="88"/>
      <c r="HF60" s="88"/>
      <c r="HG60" s="88"/>
      <c r="HH60" s="88"/>
      <c r="HI60" s="88"/>
      <c r="HJ60" s="88"/>
      <c r="HK60" s="88"/>
      <c r="HL60" s="88"/>
      <c r="HM60" s="88"/>
      <c r="HN60" s="88"/>
      <c r="HO60" s="88"/>
      <c r="HP60" s="8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88"/>
      <c r="IM60" s="88"/>
      <c r="IN60" s="88"/>
      <c r="IO60" s="88"/>
      <c r="IP60" s="88"/>
      <c r="IQ60" s="88"/>
      <c r="IR60" s="88"/>
      <c r="IS60" s="8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88"/>
      <c r="JE60" s="8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88"/>
      <c r="KC60" s="88"/>
      <c r="KD60" s="88"/>
      <c r="KE60" s="88"/>
      <c r="KF60" s="88"/>
      <c r="KG60" s="88"/>
      <c r="KH60" s="88"/>
      <c r="KI60" s="88"/>
      <c r="KJ60" s="88"/>
      <c r="KK60" s="88"/>
      <c r="KL60" s="88"/>
      <c r="KM60" s="88"/>
      <c r="KN60" s="88"/>
      <c r="KO60" s="88"/>
      <c r="KP60" s="88"/>
      <c r="KQ60" s="88"/>
      <c r="KR60" s="88"/>
      <c r="KS60" s="88"/>
      <c r="KT60" s="88"/>
      <c r="KU60" s="88"/>
      <c r="KV60" s="88"/>
      <c r="KW60" s="88"/>
      <c r="KX60" s="88"/>
      <c r="KY60" s="88"/>
      <c r="KZ60" s="88"/>
      <c r="LA60" s="88"/>
      <c r="LB60" s="88"/>
      <c r="LC60" s="88"/>
      <c r="LD60" s="88"/>
      <c r="LE60" s="88"/>
      <c r="LF60" s="88"/>
      <c r="LG60" s="88"/>
      <c r="LH60" s="88"/>
      <c r="LI60" s="88"/>
      <c r="LJ60" s="88"/>
      <c r="LK60" s="88"/>
      <c r="LL60" s="88"/>
      <c r="LM60" s="88"/>
      <c r="LN60" s="88"/>
      <c r="LO60" s="88"/>
      <c r="LP60" s="88"/>
      <c r="LQ60" s="88"/>
      <c r="LR60" s="88"/>
      <c r="LS60" s="88"/>
      <c r="LT60" s="88"/>
      <c r="LU60" s="88"/>
      <c r="LV60" s="88"/>
      <c r="LW60" s="88"/>
      <c r="LX60" s="88"/>
      <c r="LY60" s="88"/>
      <c r="LZ60" s="88"/>
      <c r="MA60" s="88"/>
      <c r="MB60" s="88"/>
      <c r="MC60" s="88"/>
      <c r="MD60" s="88"/>
      <c r="ME60" s="88"/>
      <c r="MF60" s="88"/>
      <c r="MG60" s="88"/>
      <c r="MH60" s="88"/>
      <c r="MI60" s="88"/>
      <c r="MJ60" s="88"/>
      <c r="MK60" s="88"/>
      <c r="ML60" s="88"/>
      <c r="MM60" s="88"/>
      <c r="MN60" s="88"/>
      <c r="MO60" s="88"/>
      <c r="MP60" s="88"/>
      <c r="MQ60" s="88"/>
      <c r="MR60" s="88"/>
      <c r="MS60" s="88"/>
      <c r="MT60" s="88"/>
      <c r="MU60" s="88"/>
      <c r="MV60" s="88"/>
      <c r="MW60" s="88"/>
      <c r="MX60" s="88"/>
      <c r="MY60" s="88"/>
      <c r="MZ60" s="88"/>
      <c r="NA60" s="88"/>
      <c r="NB60" s="88"/>
      <c r="NC60" s="88"/>
      <c r="ND60" s="88"/>
      <c r="NE60" s="88"/>
      <c r="NF60" s="88"/>
      <c r="NG60" s="88"/>
      <c r="NH60" s="88"/>
      <c r="NI60" s="88"/>
      <c r="NJ60" s="88"/>
      <c r="NK60" s="88"/>
      <c r="NL60" s="88"/>
      <c r="NM60" s="88"/>
      <c r="NN60" s="88"/>
      <c r="NO60" s="88"/>
      <c r="NP60" s="88"/>
      <c r="NQ60" s="88"/>
      <c r="NR60" s="88"/>
      <c r="NS60" s="88"/>
      <c r="NT60" s="88"/>
      <c r="NU60" s="88"/>
      <c r="NV60" s="88"/>
      <c r="NW60" s="88"/>
      <c r="NX60" s="88"/>
      <c r="NY60" s="88"/>
      <c r="NZ60" s="88"/>
      <c r="OA60" s="88"/>
      <c r="OB60" s="88"/>
      <c r="OC60" s="88"/>
      <c r="OD60" s="88"/>
      <c r="OE60" s="88"/>
      <c r="OF60" s="88"/>
      <c r="OG60" s="88"/>
      <c r="OH60" s="88"/>
      <c r="OI60" s="88"/>
      <c r="OJ60" s="88"/>
      <c r="OK60" s="88"/>
      <c r="OL60" s="88"/>
      <c r="OM60" s="88"/>
      <c r="ON60" s="88"/>
      <c r="OO60" s="88"/>
      <c r="OP60" s="88"/>
      <c r="OQ60" s="88"/>
      <c r="OR60" s="88"/>
      <c r="OS60" s="88"/>
      <c r="OT60" s="88"/>
      <c r="OU60" s="88"/>
      <c r="OV60" s="88"/>
      <c r="OW60" s="88"/>
      <c r="OX60" s="88"/>
      <c r="OY60" s="88"/>
      <c r="OZ60" s="88"/>
      <c r="PA60" s="88"/>
      <c r="PB60" s="88"/>
      <c r="PC60" s="88"/>
      <c r="PD60" s="88"/>
      <c r="PE60" s="88"/>
      <c r="PF60" s="88"/>
      <c r="PG60" s="88"/>
      <c r="PH60" s="88"/>
      <c r="PI60" s="88"/>
      <c r="PJ60" s="88"/>
      <c r="PK60" s="88"/>
      <c r="PL60" s="88"/>
      <c r="PM60" s="88"/>
      <c r="PN60" s="88"/>
      <c r="PO60" s="88"/>
      <c r="PP60" s="88"/>
      <c r="PQ60" s="88"/>
      <c r="PR60" s="88"/>
      <c r="PS60" s="88"/>
      <c r="PT60" s="89"/>
    </row>
    <row r="61" spans="1:436" ht="15.75" thickBot="1" x14ac:dyDescent="0.3">
      <c r="A61" s="24"/>
      <c r="B61" s="25"/>
      <c r="C61" s="25"/>
      <c r="D61" s="25"/>
      <c r="E61" s="24"/>
      <c r="F61" s="24"/>
      <c r="G61" s="24"/>
      <c r="H61" s="23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3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3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23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3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3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3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6"/>
      <c r="JT61" s="26"/>
      <c r="JU61" s="23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6"/>
      <c r="KR61" s="26"/>
      <c r="KS61" s="26"/>
      <c r="KT61" s="26"/>
      <c r="KU61" s="26"/>
      <c r="KV61" s="26"/>
      <c r="KW61" s="26"/>
      <c r="KX61" s="26"/>
      <c r="KY61" s="26"/>
      <c r="KZ61" s="26"/>
      <c r="LA61" s="26"/>
      <c r="LB61" s="26"/>
      <c r="LC61" s="26"/>
      <c r="LD61" s="26"/>
      <c r="LE61" s="26"/>
      <c r="LF61" s="26"/>
      <c r="LG61" s="26"/>
      <c r="LH61" s="23"/>
      <c r="LI61" s="26"/>
      <c r="LJ61" s="26"/>
      <c r="LK61" s="26"/>
      <c r="LL61" s="26"/>
      <c r="LM61" s="26"/>
      <c r="LN61" s="26"/>
      <c r="LO61" s="26"/>
      <c r="LP61" s="26"/>
      <c r="LQ61" s="26"/>
      <c r="LR61" s="26"/>
      <c r="LS61" s="26"/>
      <c r="LT61" s="26"/>
      <c r="LU61" s="26"/>
      <c r="LV61" s="26"/>
      <c r="LW61" s="26"/>
      <c r="LX61" s="26"/>
      <c r="LY61" s="26"/>
      <c r="LZ61" s="26"/>
      <c r="MA61" s="26"/>
      <c r="MB61" s="26"/>
      <c r="MC61" s="26"/>
      <c r="MD61" s="26"/>
      <c r="ME61" s="26"/>
      <c r="MF61" s="26"/>
      <c r="MG61" s="26"/>
      <c r="MH61" s="26"/>
      <c r="MI61" s="26"/>
      <c r="MJ61" s="26"/>
      <c r="MK61" s="26"/>
      <c r="ML61" s="26"/>
      <c r="MM61" s="26"/>
      <c r="MN61" s="26"/>
      <c r="MO61" s="26"/>
      <c r="MP61" s="26"/>
      <c r="MQ61" s="26"/>
      <c r="MR61" s="26"/>
      <c r="MS61" s="26"/>
      <c r="MT61" s="26"/>
      <c r="MU61" s="23"/>
      <c r="MV61" s="26"/>
      <c r="MW61" s="26"/>
      <c r="MX61" s="26"/>
      <c r="MY61" s="26"/>
      <c r="MZ61" s="26"/>
      <c r="NA61" s="26"/>
      <c r="NB61" s="26"/>
      <c r="NC61" s="26"/>
      <c r="ND61" s="26"/>
      <c r="NE61" s="26"/>
      <c r="NF61" s="26"/>
      <c r="NG61" s="26"/>
      <c r="NH61" s="26"/>
      <c r="NI61" s="26"/>
      <c r="NJ61" s="26"/>
      <c r="NK61" s="26"/>
      <c r="NL61" s="26"/>
      <c r="NM61" s="26"/>
      <c r="NN61" s="26"/>
      <c r="NO61" s="26"/>
      <c r="NP61" s="26"/>
      <c r="NQ61" s="26"/>
      <c r="NR61" s="26"/>
      <c r="NS61" s="26"/>
      <c r="NT61" s="26"/>
      <c r="NU61" s="26"/>
      <c r="NV61" s="26"/>
      <c r="NW61" s="26"/>
      <c r="NX61" s="26"/>
      <c r="NY61" s="26"/>
      <c r="NZ61" s="26"/>
      <c r="OA61" s="26"/>
      <c r="OB61" s="26"/>
      <c r="OC61" s="26"/>
      <c r="OD61" s="26"/>
      <c r="OE61" s="26"/>
      <c r="OF61" s="26"/>
      <c r="OG61" s="26"/>
      <c r="OH61" s="23"/>
      <c r="OI61" s="26"/>
      <c r="OJ61" s="26"/>
      <c r="OK61" s="26"/>
      <c r="OL61" s="26"/>
      <c r="OM61" s="26"/>
      <c r="ON61" s="26"/>
      <c r="OO61" s="26"/>
      <c r="OP61" s="26"/>
      <c r="OQ61" s="26"/>
      <c r="OR61" s="26"/>
      <c r="OS61" s="26"/>
      <c r="OT61" s="26"/>
      <c r="OU61" s="26"/>
      <c r="OV61" s="26"/>
      <c r="OW61" s="26"/>
      <c r="OX61" s="26"/>
      <c r="OY61" s="26"/>
      <c r="OZ61" s="26"/>
      <c r="PA61" s="26"/>
      <c r="PB61" s="26"/>
      <c r="PC61" s="26"/>
      <c r="PD61" s="26"/>
      <c r="PE61" s="26"/>
      <c r="PF61" s="26"/>
      <c r="PG61" s="26"/>
      <c r="PH61" s="26"/>
      <c r="PI61" s="26"/>
      <c r="PJ61" s="26"/>
      <c r="PK61" s="26"/>
      <c r="PL61" s="26"/>
      <c r="PM61" s="26"/>
      <c r="PN61" s="26"/>
      <c r="PO61" s="26"/>
      <c r="PP61" s="26"/>
      <c r="PQ61" s="26"/>
      <c r="PR61" s="26"/>
      <c r="PS61" s="26"/>
      <c r="PT61" s="26"/>
    </row>
    <row r="62" spans="1:436" ht="15.75" thickBot="1" x14ac:dyDescent="0.3">
      <c r="A62" s="24"/>
      <c r="B62" s="25"/>
      <c r="C62" s="25"/>
      <c r="D62" s="25"/>
      <c r="E62" s="24"/>
      <c r="F62" s="24"/>
      <c r="G62" s="24"/>
      <c r="H62" s="23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3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3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23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3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3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3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6"/>
      <c r="JT62" s="26"/>
      <c r="JU62" s="23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6"/>
      <c r="KR62" s="26"/>
      <c r="KS62" s="26"/>
      <c r="KT62" s="26"/>
      <c r="KU62" s="26"/>
      <c r="KV62" s="26"/>
      <c r="KW62" s="26"/>
      <c r="KX62" s="26"/>
      <c r="KY62" s="26"/>
      <c r="KZ62" s="26"/>
      <c r="LA62" s="26"/>
      <c r="LB62" s="26"/>
      <c r="LC62" s="26"/>
      <c r="LD62" s="26"/>
      <c r="LE62" s="26"/>
      <c r="LF62" s="26"/>
      <c r="LG62" s="26"/>
      <c r="LH62" s="23"/>
      <c r="LI62" s="26"/>
      <c r="LJ62" s="26"/>
      <c r="LK62" s="26"/>
      <c r="LL62" s="26"/>
      <c r="LM62" s="26"/>
      <c r="LN62" s="26"/>
      <c r="LO62" s="26"/>
      <c r="LP62" s="26"/>
      <c r="LQ62" s="26"/>
      <c r="LR62" s="26"/>
      <c r="LS62" s="26"/>
      <c r="LT62" s="26"/>
      <c r="LU62" s="26"/>
      <c r="LV62" s="26"/>
      <c r="LW62" s="26"/>
      <c r="LX62" s="26"/>
      <c r="LY62" s="26"/>
      <c r="LZ62" s="26"/>
      <c r="MA62" s="26"/>
      <c r="MB62" s="26"/>
      <c r="MC62" s="26"/>
      <c r="MD62" s="26"/>
      <c r="ME62" s="26"/>
      <c r="MF62" s="26"/>
      <c r="MG62" s="26"/>
      <c r="MH62" s="26"/>
      <c r="MI62" s="26"/>
      <c r="MJ62" s="26"/>
      <c r="MK62" s="26"/>
      <c r="ML62" s="26"/>
      <c r="MM62" s="26"/>
      <c r="MN62" s="26"/>
      <c r="MO62" s="26"/>
      <c r="MP62" s="26"/>
      <c r="MQ62" s="26"/>
      <c r="MR62" s="26"/>
      <c r="MS62" s="26"/>
      <c r="MT62" s="26"/>
      <c r="MU62" s="23"/>
      <c r="MV62" s="26"/>
      <c r="MW62" s="26"/>
      <c r="MX62" s="26"/>
      <c r="MY62" s="26"/>
      <c r="MZ62" s="26"/>
      <c r="NA62" s="26"/>
      <c r="NB62" s="26"/>
      <c r="NC62" s="26"/>
      <c r="ND62" s="26"/>
      <c r="NE62" s="26"/>
      <c r="NF62" s="26"/>
      <c r="NG62" s="26"/>
      <c r="NH62" s="26"/>
      <c r="NI62" s="26"/>
      <c r="NJ62" s="26"/>
      <c r="NK62" s="26"/>
      <c r="NL62" s="26"/>
      <c r="NM62" s="26"/>
      <c r="NN62" s="26"/>
      <c r="NO62" s="26"/>
      <c r="NP62" s="26"/>
      <c r="NQ62" s="26"/>
      <c r="NR62" s="26"/>
      <c r="NS62" s="26"/>
      <c r="NT62" s="26"/>
      <c r="NU62" s="26"/>
      <c r="NV62" s="26"/>
      <c r="NW62" s="26"/>
      <c r="NX62" s="26"/>
      <c r="NY62" s="26"/>
      <c r="NZ62" s="26"/>
      <c r="OA62" s="26"/>
      <c r="OB62" s="26"/>
      <c r="OC62" s="26"/>
      <c r="OD62" s="26"/>
      <c r="OE62" s="26"/>
      <c r="OF62" s="26"/>
      <c r="OG62" s="26"/>
      <c r="OH62" s="23"/>
      <c r="OI62" s="26"/>
      <c r="OJ62" s="26"/>
      <c r="OK62" s="26"/>
      <c r="OL62" s="26"/>
      <c r="OM62" s="26"/>
      <c r="ON62" s="26"/>
      <c r="OO62" s="26"/>
      <c r="OP62" s="26"/>
      <c r="OQ62" s="26"/>
      <c r="OR62" s="26"/>
      <c r="OS62" s="26"/>
      <c r="OT62" s="26"/>
      <c r="OU62" s="26"/>
      <c r="OV62" s="26"/>
      <c r="OW62" s="26"/>
      <c r="OX62" s="26"/>
      <c r="OY62" s="26"/>
      <c r="OZ62" s="26"/>
      <c r="PA62" s="26"/>
      <c r="PB62" s="26"/>
      <c r="PC62" s="26"/>
      <c r="PD62" s="26"/>
      <c r="PE62" s="26"/>
      <c r="PF62" s="26"/>
      <c r="PG62" s="26"/>
      <c r="PH62" s="26"/>
      <c r="PI62" s="26"/>
      <c r="PJ62" s="26"/>
      <c r="PK62" s="26"/>
      <c r="PL62" s="26"/>
      <c r="PM62" s="26"/>
      <c r="PN62" s="26"/>
      <c r="PO62" s="26"/>
      <c r="PP62" s="26"/>
      <c r="PQ62" s="26"/>
      <c r="PR62" s="26"/>
      <c r="PS62" s="26"/>
      <c r="PT62" s="26"/>
    </row>
    <row r="63" spans="1:436" ht="15.75" thickBot="1" x14ac:dyDescent="0.3">
      <c r="A63" s="24"/>
      <c r="B63" s="25"/>
      <c r="C63" s="25"/>
      <c r="D63" s="25"/>
      <c r="E63" s="24"/>
      <c r="F63" s="24"/>
      <c r="G63" s="24"/>
      <c r="H63" s="23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3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3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23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3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3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3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6"/>
      <c r="JT63" s="26"/>
      <c r="JU63" s="23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26"/>
      <c r="LD63" s="26"/>
      <c r="LE63" s="26"/>
      <c r="LF63" s="26"/>
      <c r="LG63" s="26"/>
      <c r="LH63" s="23"/>
      <c r="LI63" s="26"/>
      <c r="LJ63" s="26"/>
      <c r="LK63" s="26"/>
      <c r="LL63" s="26"/>
      <c r="LM63" s="26"/>
      <c r="LN63" s="26"/>
      <c r="LO63" s="26"/>
      <c r="LP63" s="26"/>
      <c r="LQ63" s="26"/>
      <c r="LR63" s="26"/>
      <c r="LS63" s="26"/>
      <c r="LT63" s="26"/>
      <c r="LU63" s="26"/>
      <c r="LV63" s="26"/>
      <c r="LW63" s="26"/>
      <c r="LX63" s="26"/>
      <c r="LY63" s="26"/>
      <c r="LZ63" s="26"/>
      <c r="MA63" s="26"/>
      <c r="MB63" s="26"/>
      <c r="MC63" s="26"/>
      <c r="MD63" s="26"/>
      <c r="ME63" s="26"/>
      <c r="MF63" s="26"/>
      <c r="MG63" s="26"/>
      <c r="MH63" s="26"/>
      <c r="MI63" s="26"/>
      <c r="MJ63" s="26"/>
      <c r="MK63" s="26"/>
      <c r="ML63" s="26"/>
      <c r="MM63" s="26"/>
      <c r="MN63" s="26"/>
      <c r="MO63" s="26"/>
      <c r="MP63" s="26"/>
      <c r="MQ63" s="26"/>
      <c r="MR63" s="26"/>
      <c r="MS63" s="26"/>
      <c r="MT63" s="26"/>
      <c r="MU63" s="23"/>
      <c r="MV63" s="26"/>
      <c r="MW63" s="26"/>
      <c r="MX63" s="26"/>
      <c r="MY63" s="26"/>
      <c r="MZ63" s="26"/>
      <c r="NA63" s="26"/>
      <c r="NB63" s="26"/>
      <c r="NC63" s="26"/>
      <c r="ND63" s="26"/>
      <c r="NE63" s="26"/>
      <c r="NF63" s="26"/>
      <c r="NG63" s="26"/>
      <c r="NH63" s="26"/>
      <c r="NI63" s="26"/>
      <c r="NJ63" s="26"/>
      <c r="NK63" s="26"/>
      <c r="NL63" s="26"/>
      <c r="NM63" s="26"/>
      <c r="NN63" s="26"/>
      <c r="NO63" s="26"/>
      <c r="NP63" s="26"/>
      <c r="NQ63" s="26"/>
      <c r="NR63" s="26"/>
      <c r="NS63" s="26"/>
      <c r="NT63" s="26"/>
      <c r="NU63" s="26"/>
      <c r="NV63" s="26"/>
      <c r="NW63" s="26"/>
      <c r="NX63" s="26"/>
      <c r="NY63" s="26"/>
      <c r="NZ63" s="26"/>
      <c r="OA63" s="26"/>
      <c r="OB63" s="26"/>
      <c r="OC63" s="26"/>
      <c r="OD63" s="26"/>
      <c r="OE63" s="26"/>
      <c r="OF63" s="26"/>
      <c r="OG63" s="26"/>
      <c r="OH63" s="23"/>
      <c r="OI63" s="26"/>
      <c r="OJ63" s="26"/>
      <c r="OK63" s="26"/>
      <c r="OL63" s="26"/>
      <c r="OM63" s="26"/>
      <c r="ON63" s="26"/>
      <c r="OO63" s="26"/>
      <c r="OP63" s="26"/>
      <c r="OQ63" s="26"/>
      <c r="OR63" s="26"/>
      <c r="OS63" s="26"/>
      <c r="OT63" s="26"/>
      <c r="OU63" s="26"/>
      <c r="OV63" s="26"/>
      <c r="OW63" s="26"/>
      <c r="OX63" s="26"/>
      <c r="OY63" s="26"/>
      <c r="OZ63" s="26"/>
      <c r="PA63" s="26"/>
      <c r="PB63" s="26"/>
      <c r="PC63" s="26"/>
      <c r="PD63" s="26"/>
      <c r="PE63" s="26"/>
      <c r="PF63" s="26"/>
      <c r="PG63" s="26"/>
      <c r="PH63" s="26"/>
      <c r="PI63" s="26"/>
      <c r="PJ63" s="26"/>
      <c r="PK63" s="26"/>
      <c r="PL63" s="26"/>
      <c r="PM63" s="26"/>
      <c r="PN63" s="26"/>
      <c r="PO63" s="26"/>
      <c r="PP63" s="26"/>
      <c r="PQ63" s="26"/>
      <c r="PR63" s="26"/>
      <c r="PS63" s="26"/>
      <c r="PT63" s="26"/>
    </row>
    <row r="64" spans="1:436" ht="15.75" thickBot="1" x14ac:dyDescent="0.3">
      <c r="A64" s="24"/>
      <c r="B64" s="25"/>
      <c r="C64" s="25"/>
      <c r="D64" s="25"/>
      <c r="E64" s="24"/>
      <c r="F64" s="24"/>
      <c r="G64" s="24"/>
      <c r="H64" s="23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3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3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23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3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3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3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6"/>
      <c r="JT64" s="26"/>
      <c r="JU64" s="23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6"/>
      <c r="KR64" s="26"/>
      <c r="KS64" s="26"/>
      <c r="KT64" s="26"/>
      <c r="KU64" s="26"/>
      <c r="KV64" s="26"/>
      <c r="KW64" s="26"/>
      <c r="KX64" s="26"/>
      <c r="KY64" s="26"/>
      <c r="KZ64" s="26"/>
      <c r="LA64" s="26"/>
      <c r="LB64" s="26"/>
      <c r="LC64" s="26"/>
      <c r="LD64" s="26"/>
      <c r="LE64" s="26"/>
      <c r="LF64" s="26"/>
      <c r="LG64" s="26"/>
      <c r="LH64" s="23"/>
      <c r="LI64" s="26"/>
      <c r="LJ64" s="26"/>
      <c r="LK64" s="26"/>
      <c r="LL64" s="26"/>
      <c r="LM64" s="26"/>
      <c r="LN64" s="26"/>
      <c r="LO64" s="26"/>
      <c r="LP64" s="26"/>
      <c r="LQ64" s="26"/>
      <c r="LR64" s="26"/>
      <c r="LS64" s="26"/>
      <c r="LT64" s="26"/>
      <c r="LU64" s="26"/>
      <c r="LV64" s="26"/>
      <c r="LW64" s="26"/>
      <c r="LX64" s="26"/>
      <c r="LY64" s="26"/>
      <c r="LZ64" s="26"/>
      <c r="MA64" s="26"/>
      <c r="MB64" s="26"/>
      <c r="MC64" s="26"/>
      <c r="MD64" s="26"/>
      <c r="ME64" s="26"/>
      <c r="MF64" s="26"/>
      <c r="MG64" s="26"/>
      <c r="MH64" s="26"/>
      <c r="MI64" s="26"/>
      <c r="MJ64" s="26"/>
      <c r="MK64" s="26"/>
      <c r="ML64" s="26"/>
      <c r="MM64" s="26"/>
      <c r="MN64" s="26"/>
      <c r="MO64" s="26"/>
      <c r="MP64" s="26"/>
      <c r="MQ64" s="26"/>
      <c r="MR64" s="26"/>
      <c r="MS64" s="26"/>
      <c r="MT64" s="26"/>
      <c r="MU64" s="23"/>
      <c r="MV64" s="26"/>
      <c r="MW64" s="26"/>
      <c r="MX64" s="26"/>
      <c r="MY64" s="26"/>
      <c r="MZ64" s="26"/>
      <c r="NA64" s="26"/>
      <c r="NB64" s="26"/>
      <c r="NC64" s="26"/>
      <c r="ND64" s="26"/>
      <c r="NE64" s="26"/>
      <c r="NF64" s="26"/>
      <c r="NG64" s="26"/>
      <c r="NH64" s="26"/>
      <c r="NI64" s="26"/>
      <c r="NJ64" s="26"/>
      <c r="NK64" s="26"/>
      <c r="NL64" s="26"/>
      <c r="NM64" s="26"/>
      <c r="NN64" s="26"/>
      <c r="NO64" s="26"/>
      <c r="NP64" s="26"/>
      <c r="NQ64" s="26"/>
      <c r="NR64" s="26"/>
      <c r="NS64" s="26"/>
      <c r="NT64" s="26"/>
      <c r="NU64" s="26"/>
      <c r="NV64" s="26"/>
      <c r="NW64" s="26"/>
      <c r="NX64" s="26"/>
      <c r="NY64" s="26"/>
      <c r="NZ64" s="26"/>
      <c r="OA64" s="26"/>
      <c r="OB64" s="26"/>
      <c r="OC64" s="26"/>
      <c r="OD64" s="26"/>
      <c r="OE64" s="26"/>
      <c r="OF64" s="26"/>
      <c r="OG64" s="26"/>
      <c r="OH64" s="23"/>
      <c r="OI64" s="26"/>
      <c r="OJ64" s="26"/>
      <c r="OK64" s="26"/>
      <c r="OL64" s="26"/>
      <c r="OM64" s="26"/>
      <c r="ON64" s="26"/>
      <c r="OO64" s="26"/>
      <c r="OP64" s="26"/>
      <c r="OQ64" s="26"/>
      <c r="OR64" s="26"/>
      <c r="OS64" s="26"/>
      <c r="OT64" s="26"/>
      <c r="OU64" s="26"/>
      <c r="OV64" s="26"/>
      <c r="OW64" s="26"/>
      <c r="OX64" s="26"/>
      <c r="OY64" s="26"/>
      <c r="OZ64" s="26"/>
      <c r="PA64" s="26"/>
      <c r="PB64" s="26"/>
      <c r="PC64" s="26"/>
      <c r="PD64" s="26"/>
      <c r="PE64" s="26"/>
      <c r="PF64" s="26"/>
      <c r="PG64" s="26"/>
      <c r="PH64" s="26"/>
      <c r="PI64" s="26"/>
      <c r="PJ64" s="26"/>
      <c r="PK64" s="26"/>
      <c r="PL64" s="26"/>
      <c r="PM64" s="26"/>
      <c r="PN64" s="26"/>
      <c r="PO64" s="26"/>
      <c r="PP64" s="26"/>
      <c r="PQ64" s="26"/>
      <c r="PR64" s="26"/>
      <c r="PS64" s="26"/>
      <c r="PT64" s="26"/>
    </row>
    <row r="65" spans="1:436" ht="15.75" thickBot="1" x14ac:dyDescent="0.3">
      <c r="A65" s="24"/>
      <c r="B65" s="25"/>
      <c r="C65" s="25"/>
      <c r="D65" s="25"/>
      <c r="E65" s="24"/>
      <c r="F65" s="24"/>
      <c r="G65" s="24"/>
      <c r="H65" s="23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3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3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23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3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3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3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6"/>
      <c r="JT65" s="26"/>
      <c r="JU65" s="23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6"/>
      <c r="LG65" s="26"/>
      <c r="LH65" s="23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H65" s="26"/>
      <c r="MI65" s="26"/>
      <c r="MJ65" s="26"/>
      <c r="MK65" s="26"/>
      <c r="ML65" s="26"/>
      <c r="MM65" s="26"/>
      <c r="MN65" s="26"/>
      <c r="MO65" s="26"/>
      <c r="MP65" s="26"/>
      <c r="MQ65" s="26"/>
      <c r="MR65" s="26"/>
      <c r="MS65" s="26"/>
      <c r="MT65" s="26"/>
      <c r="MU65" s="23"/>
      <c r="MV65" s="26"/>
      <c r="MW65" s="26"/>
      <c r="MX65" s="26"/>
      <c r="MY65" s="26"/>
      <c r="MZ65" s="26"/>
      <c r="NA65" s="26"/>
      <c r="NB65" s="26"/>
      <c r="NC65" s="26"/>
      <c r="ND65" s="26"/>
      <c r="NE65" s="26"/>
      <c r="NF65" s="26"/>
      <c r="NG65" s="26"/>
      <c r="NH65" s="26"/>
      <c r="NI65" s="26"/>
      <c r="NJ65" s="26"/>
      <c r="NK65" s="26"/>
      <c r="NL65" s="26"/>
      <c r="NM65" s="26"/>
      <c r="NN65" s="26"/>
      <c r="NO65" s="26"/>
      <c r="NP65" s="26"/>
      <c r="NQ65" s="26"/>
      <c r="NR65" s="26"/>
      <c r="NS65" s="26"/>
      <c r="NT65" s="26"/>
      <c r="NU65" s="26"/>
      <c r="NV65" s="26"/>
      <c r="NW65" s="26"/>
      <c r="NX65" s="26"/>
      <c r="NY65" s="26"/>
      <c r="NZ65" s="26"/>
      <c r="OA65" s="26"/>
      <c r="OB65" s="26"/>
      <c r="OC65" s="26"/>
      <c r="OD65" s="26"/>
      <c r="OE65" s="26"/>
      <c r="OF65" s="26"/>
      <c r="OG65" s="26"/>
      <c r="OH65" s="23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26"/>
      <c r="PK65" s="26"/>
      <c r="PL65" s="26"/>
      <c r="PM65" s="26"/>
      <c r="PN65" s="26"/>
      <c r="PO65" s="26"/>
      <c r="PP65" s="26"/>
      <c r="PQ65" s="26"/>
      <c r="PR65" s="26"/>
      <c r="PS65" s="26"/>
      <c r="PT65" s="26"/>
    </row>
    <row r="66" spans="1:436" ht="15.75" thickBot="1" x14ac:dyDescent="0.3">
      <c r="A66" s="24"/>
      <c r="B66" s="25"/>
      <c r="C66" s="25"/>
      <c r="D66" s="25"/>
      <c r="E66" s="24"/>
      <c r="F66" s="24"/>
      <c r="G66" s="24"/>
      <c r="H66" s="23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3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3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23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3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3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3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3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  <c r="KP66" s="26"/>
      <c r="KQ66" s="26"/>
      <c r="KR66" s="26"/>
      <c r="KS66" s="26"/>
      <c r="KT66" s="26"/>
      <c r="KU66" s="26"/>
      <c r="KV66" s="26"/>
      <c r="KW66" s="26"/>
      <c r="KX66" s="26"/>
      <c r="KY66" s="26"/>
      <c r="KZ66" s="26"/>
      <c r="LA66" s="26"/>
      <c r="LB66" s="26"/>
      <c r="LC66" s="26"/>
      <c r="LD66" s="26"/>
      <c r="LE66" s="26"/>
      <c r="LF66" s="26"/>
      <c r="LG66" s="26"/>
      <c r="LH66" s="23"/>
      <c r="LI66" s="26"/>
      <c r="LJ66" s="26"/>
      <c r="LK66" s="26"/>
      <c r="LL66" s="26"/>
      <c r="LM66" s="26"/>
      <c r="LN66" s="26"/>
      <c r="LO66" s="26"/>
      <c r="LP66" s="26"/>
      <c r="LQ66" s="26"/>
      <c r="LR66" s="26"/>
      <c r="LS66" s="26"/>
      <c r="LT66" s="26"/>
      <c r="LU66" s="26"/>
      <c r="LV66" s="26"/>
      <c r="LW66" s="26"/>
      <c r="LX66" s="26"/>
      <c r="LY66" s="26"/>
      <c r="LZ66" s="26"/>
      <c r="MA66" s="26"/>
      <c r="MB66" s="26"/>
      <c r="MC66" s="26"/>
      <c r="MD66" s="26"/>
      <c r="ME66" s="26"/>
      <c r="MF66" s="26"/>
      <c r="MG66" s="26"/>
      <c r="MH66" s="26"/>
      <c r="MI66" s="26"/>
      <c r="MJ66" s="26"/>
      <c r="MK66" s="26"/>
      <c r="ML66" s="26"/>
      <c r="MM66" s="26"/>
      <c r="MN66" s="26"/>
      <c r="MO66" s="26"/>
      <c r="MP66" s="26"/>
      <c r="MQ66" s="26"/>
      <c r="MR66" s="26"/>
      <c r="MS66" s="26"/>
      <c r="MT66" s="26"/>
      <c r="MU66" s="23"/>
      <c r="MV66" s="26"/>
      <c r="MW66" s="26"/>
      <c r="MX66" s="26"/>
      <c r="MY66" s="26"/>
      <c r="MZ66" s="26"/>
      <c r="NA66" s="26"/>
      <c r="NB66" s="26"/>
      <c r="NC66" s="26"/>
      <c r="ND66" s="26"/>
      <c r="NE66" s="26"/>
      <c r="NF66" s="26"/>
      <c r="NG66" s="26"/>
      <c r="NH66" s="26"/>
      <c r="NI66" s="26"/>
      <c r="NJ66" s="26"/>
      <c r="NK66" s="26"/>
      <c r="NL66" s="26"/>
      <c r="NM66" s="26"/>
      <c r="NN66" s="26"/>
      <c r="NO66" s="26"/>
      <c r="NP66" s="26"/>
      <c r="NQ66" s="26"/>
      <c r="NR66" s="26"/>
      <c r="NS66" s="26"/>
      <c r="NT66" s="26"/>
      <c r="NU66" s="26"/>
      <c r="NV66" s="26"/>
      <c r="NW66" s="26"/>
      <c r="NX66" s="26"/>
      <c r="NY66" s="26"/>
      <c r="NZ66" s="26"/>
      <c r="OA66" s="26"/>
      <c r="OB66" s="26"/>
      <c r="OC66" s="26"/>
      <c r="OD66" s="26"/>
      <c r="OE66" s="26"/>
      <c r="OF66" s="26"/>
      <c r="OG66" s="26"/>
      <c r="OH66" s="23"/>
      <c r="OI66" s="26"/>
      <c r="OJ66" s="26"/>
      <c r="OK66" s="26"/>
      <c r="OL66" s="26"/>
      <c r="OM66" s="26"/>
      <c r="ON66" s="26"/>
      <c r="OO66" s="26"/>
      <c r="OP66" s="26"/>
      <c r="OQ66" s="26"/>
      <c r="OR66" s="26"/>
      <c r="OS66" s="26"/>
      <c r="OT66" s="26"/>
      <c r="OU66" s="26"/>
      <c r="OV66" s="26"/>
      <c r="OW66" s="26"/>
      <c r="OX66" s="26"/>
      <c r="OY66" s="26"/>
      <c r="OZ66" s="26"/>
      <c r="PA66" s="26"/>
      <c r="PB66" s="26"/>
      <c r="PC66" s="26"/>
      <c r="PD66" s="26"/>
      <c r="PE66" s="26"/>
      <c r="PF66" s="26"/>
      <c r="PG66" s="26"/>
      <c r="PH66" s="26"/>
      <c r="PI66" s="26"/>
      <c r="PJ66" s="26"/>
      <c r="PK66" s="26"/>
      <c r="PL66" s="26"/>
      <c r="PM66" s="26"/>
      <c r="PN66" s="26"/>
      <c r="PO66" s="26"/>
      <c r="PP66" s="26"/>
      <c r="PQ66" s="26"/>
      <c r="PR66" s="26"/>
      <c r="PS66" s="26"/>
      <c r="PT66" s="26"/>
    </row>
    <row r="67" spans="1:436" ht="15.75" thickBot="1" x14ac:dyDescent="0.3">
      <c r="A67" s="24"/>
      <c r="B67" s="25"/>
      <c r="C67" s="25"/>
      <c r="D67" s="25"/>
      <c r="E67" s="24"/>
      <c r="F67" s="24"/>
      <c r="G67" s="24"/>
      <c r="H67" s="23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3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3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23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3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3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3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3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6"/>
      <c r="LG67" s="26"/>
      <c r="LH67" s="23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H67" s="26"/>
      <c r="MI67" s="26"/>
      <c r="MJ67" s="26"/>
      <c r="MK67" s="26"/>
      <c r="ML67" s="26"/>
      <c r="MM67" s="26"/>
      <c r="MN67" s="26"/>
      <c r="MO67" s="26"/>
      <c r="MP67" s="26"/>
      <c r="MQ67" s="26"/>
      <c r="MR67" s="26"/>
      <c r="MS67" s="26"/>
      <c r="MT67" s="26"/>
      <c r="MU67" s="23"/>
      <c r="MV67" s="26"/>
      <c r="MW67" s="26"/>
      <c r="MX67" s="26"/>
      <c r="MY67" s="26"/>
      <c r="MZ67" s="26"/>
      <c r="NA67" s="26"/>
      <c r="NB67" s="26"/>
      <c r="NC67" s="26"/>
      <c r="ND67" s="26"/>
      <c r="NE67" s="26"/>
      <c r="NF67" s="26"/>
      <c r="NG67" s="26"/>
      <c r="NH67" s="26"/>
      <c r="NI67" s="26"/>
      <c r="NJ67" s="26"/>
      <c r="NK67" s="26"/>
      <c r="NL67" s="26"/>
      <c r="NM67" s="26"/>
      <c r="NN67" s="26"/>
      <c r="NO67" s="26"/>
      <c r="NP67" s="26"/>
      <c r="NQ67" s="26"/>
      <c r="NR67" s="26"/>
      <c r="NS67" s="26"/>
      <c r="NT67" s="26"/>
      <c r="NU67" s="26"/>
      <c r="NV67" s="26"/>
      <c r="NW67" s="26"/>
      <c r="NX67" s="26"/>
      <c r="NY67" s="26"/>
      <c r="NZ67" s="26"/>
      <c r="OA67" s="26"/>
      <c r="OB67" s="26"/>
      <c r="OC67" s="26"/>
      <c r="OD67" s="26"/>
      <c r="OE67" s="26"/>
      <c r="OF67" s="26"/>
      <c r="OG67" s="26"/>
      <c r="OH67" s="23"/>
      <c r="OI67" s="26"/>
      <c r="OJ67" s="26"/>
      <c r="OK67" s="26"/>
      <c r="OL67" s="26"/>
      <c r="OM67" s="26"/>
      <c r="ON67" s="26"/>
      <c r="OO67" s="26"/>
      <c r="OP67" s="26"/>
      <c r="OQ67" s="26"/>
      <c r="OR67" s="26"/>
      <c r="OS67" s="26"/>
      <c r="OT67" s="26"/>
      <c r="OU67" s="26"/>
      <c r="OV67" s="26"/>
      <c r="OW67" s="26"/>
      <c r="OX67" s="26"/>
      <c r="OY67" s="26"/>
      <c r="OZ67" s="26"/>
      <c r="PA67" s="26"/>
      <c r="PB67" s="26"/>
      <c r="PC67" s="26"/>
      <c r="PD67" s="26"/>
      <c r="PE67" s="26"/>
      <c r="PF67" s="26"/>
      <c r="PG67" s="26"/>
      <c r="PH67" s="26"/>
      <c r="PI67" s="26"/>
      <c r="PJ67" s="26"/>
      <c r="PK67" s="26"/>
      <c r="PL67" s="26"/>
      <c r="PM67" s="26"/>
      <c r="PN67" s="26"/>
      <c r="PO67" s="26"/>
      <c r="PP67" s="26"/>
      <c r="PQ67" s="26"/>
      <c r="PR67" s="26"/>
      <c r="PS67" s="26"/>
      <c r="PT67" s="26"/>
    </row>
    <row r="68" spans="1:436" ht="15.75" thickBot="1" x14ac:dyDescent="0.3">
      <c r="A68" s="24"/>
      <c r="B68" s="25"/>
      <c r="C68" s="25"/>
      <c r="D68" s="25"/>
      <c r="E68" s="24"/>
      <c r="F68" s="24"/>
      <c r="G68" s="24"/>
      <c r="H68" s="23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3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3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23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3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3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3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3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6"/>
      <c r="KR68" s="26"/>
      <c r="KS68" s="26"/>
      <c r="KT68" s="26"/>
      <c r="KU68" s="26"/>
      <c r="KV68" s="26"/>
      <c r="KW68" s="26"/>
      <c r="KX68" s="26"/>
      <c r="KY68" s="26"/>
      <c r="KZ68" s="26"/>
      <c r="LA68" s="26"/>
      <c r="LB68" s="26"/>
      <c r="LC68" s="26"/>
      <c r="LD68" s="26"/>
      <c r="LE68" s="26"/>
      <c r="LF68" s="26"/>
      <c r="LG68" s="26"/>
      <c r="LH68" s="23"/>
      <c r="LI68" s="26"/>
      <c r="LJ68" s="26"/>
      <c r="LK68" s="26"/>
      <c r="LL68" s="26"/>
      <c r="LM68" s="26"/>
      <c r="LN68" s="26"/>
      <c r="LO68" s="26"/>
      <c r="LP68" s="26"/>
      <c r="LQ68" s="26"/>
      <c r="LR68" s="26"/>
      <c r="LS68" s="26"/>
      <c r="LT68" s="26"/>
      <c r="LU68" s="26"/>
      <c r="LV68" s="26"/>
      <c r="LW68" s="26"/>
      <c r="LX68" s="26"/>
      <c r="LY68" s="26"/>
      <c r="LZ68" s="26"/>
      <c r="MA68" s="26"/>
      <c r="MB68" s="26"/>
      <c r="MC68" s="26"/>
      <c r="MD68" s="26"/>
      <c r="ME68" s="26"/>
      <c r="MF68" s="26"/>
      <c r="MG68" s="26"/>
      <c r="MH68" s="26"/>
      <c r="MI68" s="26"/>
      <c r="MJ68" s="26"/>
      <c r="MK68" s="26"/>
      <c r="ML68" s="26"/>
      <c r="MM68" s="26"/>
      <c r="MN68" s="26"/>
      <c r="MO68" s="26"/>
      <c r="MP68" s="26"/>
      <c r="MQ68" s="26"/>
      <c r="MR68" s="26"/>
      <c r="MS68" s="26"/>
      <c r="MT68" s="26"/>
      <c r="MU68" s="23"/>
      <c r="MV68" s="26"/>
      <c r="MW68" s="26"/>
      <c r="MX68" s="26"/>
      <c r="MY68" s="26"/>
      <c r="MZ68" s="26"/>
      <c r="NA68" s="26"/>
      <c r="NB68" s="26"/>
      <c r="NC68" s="26"/>
      <c r="ND68" s="26"/>
      <c r="NE68" s="26"/>
      <c r="NF68" s="26"/>
      <c r="NG68" s="26"/>
      <c r="NH68" s="26"/>
      <c r="NI68" s="26"/>
      <c r="NJ68" s="26"/>
      <c r="NK68" s="26"/>
      <c r="NL68" s="26"/>
      <c r="NM68" s="26"/>
      <c r="NN68" s="26"/>
      <c r="NO68" s="26"/>
      <c r="NP68" s="26"/>
      <c r="NQ68" s="26"/>
      <c r="NR68" s="26"/>
      <c r="NS68" s="26"/>
      <c r="NT68" s="26"/>
      <c r="NU68" s="26"/>
      <c r="NV68" s="26"/>
      <c r="NW68" s="26"/>
      <c r="NX68" s="26"/>
      <c r="NY68" s="26"/>
      <c r="NZ68" s="26"/>
      <c r="OA68" s="26"/>
      <c r="OB68" s="26"/>
      <c r="OC68" s="26"/>
      <c r="OD68" s="26"/>
      <c r="OE68" s="26"/>
      <c r="OF68" s="26"/>
      <c r="OG68" s="26"/>
      <c r="OH68" s="23"/>
      <c r="OI68" s="26"/>
      <c r="OJ68" s="26"/>
      <c r="OK68" s="26"/>
      <c r="OL68" s="26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6"/>
      <c r="PK68" s="26"/>
      <c r="PL68" s="26"/>
      <c r="PM68" s="26"/>
      <c r="PN68" s="26"/>
      <c r="PO68" s="26"/>
      <c r="PP68" s="26"/>
      <c r="PQ68" s="26"/>
      <c r="PR68" s="26"/>
      <c r="PS68" s="26"/>
      <c r="PT68" s="26"/>
    </row>
    <row r="69" spans="1:436" ht="21.95" customHeight="1" thickBot="1" x14ac:dyDescent="0.3">
      <c r="A69" s="87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  <c r="FU69" s="88"/>
      <c r="FV69" s="88"/>
      <c r="FW69" s="88"/>
      <c r="FX69" s="88"/>
      <c r="FY69" s="88"/>
      <c r="FZ69" s="88"/>
      <c r="GA69" s="88"/>
      <c r="GB69" s="88"/>
      <c r="GC69" s="88"/>
      <c r="GD69" s="88"/>
      <c r="GE69" s="88"/>
      <c r="GF69" s="88"/>
      <c r="GG69" s="88"/>
      <c r="GH69" s="88"/>
      <c r="GI69" s="88"/>
      <c r="GJ69" s="88"/>
      <c r="GK69" s="88"/>
      <c r="GL69" s="88"/>
      <c r="GM69" s="88"/>
      <c r="GN69" s="88"/>
      <c r="GO69" s="88"/>
      <c r="GP69" s="88"/>
      <c r="GQ69" s="88"/>
      <c r="GR69" s="88"/>
      <c r="GS69" s="88"/>
      <c r="GT69" s="88"/>
      <c r="GU69" s="88"/>
      <c r="GV69" s="88"/>
      <c r="GW69" s="88"/>
      <c r="GX69" s="88"/>
      <c r="GY69" s="88"/>
      <c r="GZ69" s="88"/>
      <c r="HA69" s="88"/>
      <c r="HB69" s="88"/>
      <c r="HC69" s="88"/>
      <c r="HD69" s="88"/>
      <c r="HE69" s="88"/>
      <c r="HF69" s="88"/>
      <c r="HG69" s="88"/>
      <c r="HH69" s="88"/>
      <c r="HI69" s="88"/>
      <c r="HJ69" s="88"/>
      <c r="HK69" s="88"/>
      <c r="HL69" s="88"/>
      <c r="HM69" s="88"/>
      <c r="HN69" s="88"/>
      <c r="HO69" s="88"/>
      <c r="HP69" s="88"/>
      <c r="HQ69" s="88"/>
      <c r="HR69" s="88"/>
      <c r="HS69" s="88"/>
      <c r="HT69" s="88"/>
      <c r="HU69" s="88"/>
      <c r="HV69" s="88"/>
      <c r="HW69" s="88"/>
      <c r="HX69" s="88"/>
      <c r="HY69" s="88"/>
      <c r="HZ69" s="88"/>
      <c r="IA69" s="88"/>
      <c r="IB69" s="88"/>
      <c r="IC69" s="88"/>
      <c r="ID69" s="88"/>
      <c r="IE69" s="88"/>
      <c r="IF69" s="88"/>
      <c r="IG69" s="88"/>
      <c r="IH69" s="88"/>
      <c r="II69" s="88"/>
      <c r="IJ69" s="88"/>
      <c r="IK69" s="88"/>
      <c r="IL69" s="88"/>
      <c r="IM69" s="88"/>
      <c r="IN69" s="88"/>
      <c r="IO69" s="88"/>
      <c r="IP69" s="88"/>
      <c r="IQ69" s="88"/>
      <c r="IR69" s="88"/>
      <c r="IS69" s="88"/>
      <c r="IT69" s="88"/>
      <c r="IU69" s="88"/>
      <c r="IV69" s="88"/>
      <c r="IW69" s="88"/>
      <c r="IX69" s="88"/>
      <c r="IY69" s="88"/>
      <c r="IZ69" s="88"/>
      <c r="JA69" s="88"/>
      <c r="JB69" s="88"/>
      <c r="JC69" s="88"/>
      <c r="JD69" s="88"/>
      <c r="JE69" s="88"/>
      <c r="JF69" s="88"/>
      <c r="JG69" s="88"/>
      <c r="JH69" s="88"/>
      <c r="JI69" s="88"/>
      <c r="JJ69" s="88"/>
      <c r="JK69" s="88"/>
      <c r="JL69" s="88"/>
      <c r="JM69" s="88"/>
      <c r="JN69" s="88"/>
      <c r="JO69" s="88"/>
      <c r="JP69" s="88"/>
      <c r="JQ69" s="88"/>
      <c r="JR69" s="88"/>
      <c r="JS69" s="88"/>
      <c r="JT69" s="88"/>
      <c r="JU69" s="88"/>
      <c r="JV69" s="88"/>
      <c r="JW69" s="88"/>
      <c r="JX69" s="88"/>
      <c r="JY69" s="88"/>
      <c r="JZ69" s="88"/>
      <c r="KA69" s="88"/>
      <c r="KB69" s="88"/>
      <c r="KC69" s="88"/>
      <c r="KD69" s="88"/>
      <c r="KE69" s="88"/>
      <c r="KF69" s="88"/>
      <c r="KG69" s="88"/>
      <c r="KH69" s="88"/>
      <c r="KI69" s="88"/>
      <c r="KJ69" s="88"/>
      <c r="KK69" s="88"/>
      <c r="KL69" s="88"/>
      <c r="KM69" s="88"/>
      <c r="KN69" s="88"/>
      <c r="KO69" s="88"/>
      <c r="KP69" s="88"/>
      <c r="KQ69" s="88"/>
      <c r="KR69" s="88"/>
      <c r="KS69" s="88"/>
      <c r="KT69" s="88"/>
      <c r="KU69" s="88"/>
      <c r="KV69" s="88"/>
      <c r="KW69" s="88"/>
      <c r="KX69" s="88"/>
      <c r="KY69" s="88"/>
      <c r="KZ69" s="88"/>
      <c r="LA69" s="88"/>
      <c r="LB69" s="88"/>
      <c r="LC69" s="88"/>
      <c r="LD69" s="88"/>
      <c r="LE69" s="88"/>
      <c r="LF69" s="88"/>
      <c r="LG69" s="88"/>
      <c r="LH69" s="88"/>
      <c r="LI69" s="88"/>
      <c r="LJ69" s="88"/>
      <c r="LK69" s="88"/>
      <c r="LL69" s="88"/>
      <c r="LM69" s="88"/>
      <c r="LN69" s="88"/>
      <c r="LO69" s="88"/>
      <c r="LP69" s="88"/>
      <c r="LQ69" s="88"/>
      <c r="LR69" s="88"/>
      <c r="LS69" s="88"/>
      <c r="LT69" s="88"/>
      <c r="LU69" s="88"/>
      <c r="LV69" s="88"/>
      <c r="LW69" s="88"/>
      <c r="LX69" s="88"/>
      <c r="LY69" s="88"/>
      <c r="LZ69" s="88"/>
      <c r="MA69" s="88"/>
      <c r="MB69" s="88"/>
      <c r="MC69" s="88"/>
      <c r="MD69" s="88"/>
      <c r="ME69" s="88"/>
      <c r="MF69" s="88"/>
      <c r="MG69" s="88"/>
      <c r="MH69" s="88"/>
      <c r="MI69" s="88"/>
      <c r="MJ69" s="88"/>
      <c r="MK69" s="88"/>
      <c r="ML69" s="88"/>
      <c r="MM69" s="88"/>
      <c r="MN69" s="88"/>
      <c r="MO69" s="88"/>
      <c r="MP69" s="88"/>
      <c r="MQ69" s="88"/>
      <c r="MR69" s="88"/>
      <c r="MS69" s="88"/>
      <c r="MT69" s="88"/>
      <c r="MU69" s="88"/>
      <c r="MV69" s="88"/>
      <c r="MW69" s="88"/>
      <c r="MX69" s="88"/>
      <c r="MY69" s="88"/>
      <c r="MZ69" s="88"/>
      <c r="NA69" s="88"/>
      <c r="NB69" s="88"/>
      <c r="NC69" s="88"/>
      <c r="ND69" s="88"/>
      <c r="NE69" s="88"/>
      <c r="NF69" s="88"/>
      <c r="NG69" s="88"/>
      <c r="NH69" s="88"/>
      <c r="NI69" s="88"/>
      <c r="NJ69" s="88"/>
      <c r="NK69" s="88"/>
      <c r="NL69" s="88"/>
      <c r="NM69" s="88"/>
      <c r="NN69" s="88"/>
      <c r="NO69" s="88"/>
      <c r="NP69" s="88"/>
      <c r="NQ69" s="88"/>
      <c r="NR69" s="88"/>
      <c r="NS69" s="88"/>
      <c r="NT69" s="88"/>
      <c r="NU69" s="88"/>
      <c r="NV69" s="88"/>
      <c r="NW69" s="88"/>
      <c r="NX69" s="88"/>
      <c r="NY69" s="88"/>
      <c r="NZ69" s="88"/>
      <c r="OA69" s="88"/>
      <c r="OB69" s="88"/>
      <c r="OC69" s="88"/>
      <c r="OD69" s="88"/>
      <c r="OE69" s="88"/>
      <c r="OF69" s="88"/>
      <c r="OG69" s="88"/>
      <c r="OH69" s="88"/>
      <c r="OI69" s="88"/>
      <c r="OJ69" s="88"/>
      <c r="OK69" s="88"/>
      <c r="OL69" s="88"/>
      <c r="OM69" s="88"/>
      <c r="ON69" s="88"/>
      <c r="OO69" s="88"/>
      <c r="OP69" s="88"/>
      <c r="OQ69" s="88"/>
      <c r="OR69" s="88"/>
      <c r="OS69" s="88"/>
      <c r="OT69" s="88"/>
      <c r="OU69" s="88"/>
      <c r="OV69" s="88"/>
      <c r="OW69" s="88"/>
      <c r="OX69" s="88"/>
      <c r="OY69" s="88"/>
      <c r="OZ69" s="88"/>
      <c r="PA69" s="88"/>
      <c r="PB69" s="88"/>
      <c r="PC69" s="88"/>
      <c r="PD69" s="88"/>
      <c r="PE69" s="88"/>
      <c r="PF69" s="88"/>
      <c r="PG69" s="88"/>
      <c r="PH69" s="88"/>
      <c r="PI69" s="88"/>
      <c r="PJ69" s="88"/>
      <c r="PK69" s="88"/>
      <c r="PL69" s="88"/>
      <c r="PM69" s="88"/>
      <c r="PN69" s="88"/>
      <c r="PO69" s="88"/>
      <c r="PP69" s="88"/>
      <c r="PQ69" s="88"/>
      <c r="PR69" s="88"/>
      <c r="PS69" s="88"/>
      <c r="PT69" s="89"/>
    </row>
    <row r="70" spans="1:436" ht="15.75" thickBot="1" x14ac:dyDescent="0.3">
      <c r="A70" s="24"/>
      <c r="B70" s="25"/>
      <c r="C70" s="25"/>
      <c r="D70" s="25"/>
      <c r="E70" s="24"/>
      <c r="F70" s="24"/>
      <c r="G70" s="24"/>
      <c r="H70" s="23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3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3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23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3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3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3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3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6"/>
      <c r="KR70" s="26"/>
      <c r="KS70" s="26"/>
      <c r="KT70" s="26"/>
      <c r="KU70" s="26"/>
      <c r="KV70" s="26"/>
      <c r="KW70" s="26"/>
      <c r="KX70" s="26"/>
      <c r="KY70" s="26"/>
      <c r="KZ70" s="26"/>
      <c r="LA70" s="26"/>
      <c r="LB70" s="26"/>
      <c r="LC70" s="26"/>
      <c r="LD70" s="26"/>
      <c r="LE70" s="26"/>
      <c r="LF70" s="26"/>
      <c r="LG70" s="26"/>
      <c r="LH70" s="23"/>
      <c r="LI70" s="26"/>
      <c r="LJ70" s="26"/>
      <c r="LK70" s="26"/>
      <c r="LL70" s="26"/>
      <c r="LM70" s="26"/>
      <c r="LN70" s="26"/>
      <c r="LO70" s="26"/>
      <c r="LP70" s="26"/>
      <c r="LQ70" s="26"/>
      <c r="LR70" s="26"/>
      <c r="LS70" s="26"/>
      <c r="LT70" s="26"/>
      <c r="LU70" s="26"/>
      <c r="LV70" s="26"/>
      <c r="LW70" s="26"/>
      <c r="LX70" s="26"/>
      <c r="LY70" s="26"/>
      <c r="LZ70" s="26"/>
      <c r="MA70" s="26"/>
      <c r="MB70" s="26"/>
      <c r="MC70" s="26"/>
      <c r="MD70" s="26"/>
      <c r="ME70" s="26"/>
      <c r="MF70" s="26"/>
      <c r="MG70" s="26"/>
      <c r="MH70" s="26"/>
      <c r="MI70" s="26"/>
      <c r="MJ70" s="26"/>
      <c r="MK70" s="26"/>
      <c r="ML70" s="26"/>
      <c r="MM70" s="26"/>
      <c r="MN70" s="26"/>
      <c r="MO70" s="26"/>
      <c r="MP70" s="26"/>
      <c r="MQ70" s="26"/>
      <c r="MR70" s="26"/>
      <c r="MS70" s="26"/>
      <c r="MT70" s="26"/>
      <c r="MU70" s="23"/>
      <c r="MV70" s="26"/>
      <c r="MW70" s="26"/>
      <c r="MX70" s="26"/>
      <c r="MY70" s="26"/>
      <c r="MZ70" s="26"/>
      <c r="NA70" s="26"/>
      <c r="NB70" s="26"/>
      <c r="NC70" s="26"/>
      <c r="ND70" s="26"/>
      <c r="NE70" s="26"/>
      <c r="NF70" s="26"/>
      <c r="NG70" s="26"/>
      <c r="NH70" s="26"/>
      <c r="NI70" s="26"/>
      <c r="NJ70" s="26"/>
      <c r="NK70" s="26"/>
      <c r="NL70" s="26"/>
      <c r="NM70" s="26"/>
      <c r="NN70" s="26"/>
      <c r="NO70" s="26"/>
      <c r="NP70" s="26"/>
      <c r="NQ70" s="26"/>
      <c r="NR70" s="26"/>
      <c r="NS70" s="26"/>
      <c r="NT70" s="26"/>
      <c r="NU70" s="26"/>
      <c r="NV70" s="26"/>
      <c r="NW70" s="26"/>
      <c r="NX70" s="26"/>
      <c r="NY70" s="26"/>
      <c r="NZ70" s="26"/>
      <c r="OA70" s="26"/>
      <c r="OB70" s="26"/>
      <c r="OC70" s="26"/>
      <c r="OD70" s="26"/>
      <c r="OE70" s="26"/>
      <c r="OF70" s="26"/>
      <c r="OG70" s="26"/>
      <c r="OH70" s="23"/>
      <c r="OI70" s="26"/>
      <c r="OJ70" s="26"/>
      <c r="OK70" s="26"/>
      <c r="OL70" s="26"/>
      <c r="OM70" s="26"/>
      <c r="ON70" s="26"/>
      <c r="OO70" s="26"/>
      <c r="OP70" s="26"/>
      <c r="OQ70" s="26"/>
      <c r="OR70" s="26"/>
      <c r="OS70" s="26"/>
      <c r="OT70" s="26"/>
      <c r="OU70" s="26"/>
      <c r="OV70" s="26"/>
      <c r="OW70" s="26"/>
      <c r="OX70" s="26"/>
      <c r="OY70" s="26"/>
      <c r="OZ70" s="26"/>
      <c r="PA70" s="26"/>
      <c r="PB70" s="26"/>
      <c r="PC70" s="26"/>
      <c r="PD70" s="26"/>
      <c r="PE70" s="26"/>
      <c r="PF70" s="26"/>
      <c r="PG70" s="26"/>
      <c r="PH70" s="26"/>
      <c r="PI70" s="26"/>
      <c r="PJ70" s="26"/>
      <c r="PK70" s="26"/>
      <c r="PL70" s="26"/>
      <c r="PM70" s="26"/>
      <c r="PN70" s="26"/>
      <c r="PO70" s="26"/>
      <c r="PP70" s="26"/>
      <c r="PQ70" s="26"/>
      <c r="PR70" s="26"/>
      <c r="PS70" s="26"/>
      <c r="PT70" s="26"/>
    </row>
    <row r="71" spans="1:436" ht="15.75" thickBot="1" x14ac:dyDescent="0.3">
      <c r="A71" s="24"/>
      <c r="B71" s="25"/>
      <c r="C71" s="25"/>
      <c r="D71" s="25"/>
      <c r="E71" s="24"/>
      <c r="F71" s="24"/>
      <c r="G71" s="24"/>
      <c r="H71" s="23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3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3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23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3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3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3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3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6"/>
      <c r="LG71" s="26"/>
      <c r="LH71" s="23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H71" s="26"/>
      <c r="MI71" s="26"/>
      <c r="MJ71" s="26"/>
      <c r="MK71" s="26"/>
      <c r="ML71" s="26"/>
      <c r="MM71" s="26"/>
      <c r="MN71" s="26"/>
      <c r="MO71" s="26"/>
      <c r="MP71" s="26"/>
      <c r="MQ71" s="26"/>
      <c r="MR71" s="26"/>
      <c r="MS71" s="26"/>
      <c r="MT71" s="26"/>
      <c r="MU71" s="23"/>
      <c r="MV71" s="26"/>
      <c r="MW71" s="26"/>
      <c r="MX71" s="26"/>
      <c r="MY71" s="26"/>
      <c r="MZ71" s="26"/>
      <c r="NA71" s="26"/>
      <c r="NB71" s="26"/>
      <c r="NC71" s="26"/>
      <c r="ND71" s="26"/>
      <c r="NE71" s="26"/>
      <c r="NF71" s="26"/>
      <c r="NG71" s="26"/>
      <c r="NH71" s="26"/>
      <c r="NI71" s="26"/>
      <c r="NJ71" s="26"/>
      <c r="NK71" s="26"/>
      <c r="NL71" s="26"/>
      <c r="NM71" s="26"/>
      <c r="NN71" s="26"/>
      <c r="NO71" s="26"/>
      <c r="NP71" s="26"/>
      <c r="NQ71" s="26"/>
      <c r="NR71" s="26"/>
      <c r="NS71" s="26"/>
      <c r="NT71" s="26"/>
      <c r="NU71" s="26"/>
      <c r="NV71" s="26"/>
      <c r="NW71" s="26"/>
      <c r="NX71" s="26"/>
      <c r="NY71" s="26"/>
      <c r="NZ71" s="26"/>
      <c r="OA71" s="26"/>
      <c r="OB71" s="26"/>
      <c r="OC71" s="26"/>
      <c r="OD71" s="26"/>
      <c r="OE71" s="26"/>
      <c r="OF71" s="26"/>
      <c r="OG71" s="26"/>
      <c r="OH71" s="23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  <c r="PS71" s="26"/>
      <c r="PT71" s="26"/>
    </row>
    <row r="72" spans="1:436" ht="15.75" thickBot="1" x14ac:dyDescent="0.3">
      <c r="A72" s="24"/>
      <c r="B72" s="25"/>
      <c r="C72" s="25"/>
      <c r="D72" s="25"/>
      <c r="E72" s="24"/>
      <c r="F72" s="24"/>
      <c r="G72" s="24"/>
      <c r="H72" s="23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3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3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23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3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3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3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3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3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6"/>
      <c r="MT72" s="26"/>
      <c r="MU72" s="23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3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  <c r="PS72" s="26"/>
      <c r="PT72" s="26"/>
    </row>
    <row r="73" spans="1:436" ht="15.75" thickBot="1" x14ac:dyDescent="0.3">
      <c r="A73" s="24"/>
      <c r="B73" s="25"/>
      <c r="C73" s="25"/>
      <c r="D73" s="25"/>
      <c r="E73" s="24"/>
      <c r="F73" s="24"/>
      <c r="G73" s="24"/>
      <c r="H73" s="23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3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3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23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3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3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3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6"/>
      <c r="JT73" s="26"/>
      <c r="JU73" s="23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  <c r="KO73" s="26"/>
      <c r="KP73" s="26"/>
      <c r="KQ73" s="26"/>
      <c r="KR73" s="26"/>
      <c r="KS73" s="26"/>
      <c r="KT73" s="26"/>
      <c r="KU73" s="26"/>
      <c r="KV73" s="26"/>
      <c r="KW73" s="26"/>
      <c r="KX73" s="26"/>
      <c r="KY73" s="26"/>
      <c r="KZ73" s="26"/>
      <c r="LA73" s="26"/>
      <c r="LB73" s="26"/>
      <c r="LC73" s="26"/>
      <c r="LD73" s="26"/>
      <c r="LE73" s="26"/>
      <c r="LF73" s="26"/>
      <c r="LG73" s="26"/>
      <c r="LH73" s="23"/>
      <c r="LI73" s="26"/>
      <c r="LJ73" s="26"/>
      <c r="LK73" s="26"/>
      <c r="LL73" s="26"/>
      <c r="LM73" s="26"/>
      <c r="LN73" s="26"/>
      <c r="LO73" s="26"/>
      <c r="LP73" s="26"/>
      <c r="LQ73" s="26"/>
      <c r="LR73" s="26"/>
      <c r="LS73" s="26"/>
      <c r="LT73" s="26"/>
      <c r="LU73" s="26"/>
      <c r="LV73" s="26"/>
      <c r="LW73" s="26"/>
      <c r="LX73" s="26"/>
      <c r="LY73" s="26"/>
      <c r="LZ73" s="26"/>
      <c r="MA73" s="26"/>
      <c r="MB73" s="26"/>
      <c r="MC73" s="26"/>
      <c r="MD73" s="26"/>
      <c r="ME73" s="26"/>
      <c r="MF73" s="26"/>
      <c r="MG73" s="26"/>
      <c r="MH73" s="26"/>
      <c r="MI73" s="26"/>
      <c r="MJ73" s="26"/>
      <c r="MK73" s="26"/>
      <c r="ML73" s="26"/>
      <c r="MM73" s="26"/>
      <c r="MN73" s="26"/>
      <c r="MO73" s="26"/>
      <c r="MP73" s="26"/>
      <c r="MQ73" s="26"/>
      <c r="MR73" s="26"/>
      <c r="MS73" s="26"/>
      <c r="MT73" s="26"/>
      <c r="MU73" s="23"/>
      <c r="MV73" s="26"/>
      <c r="MW73" s="26"/>
      <c r="MX73" s="26"/>
      <c r="MY73" s="26"/>
      <c r="MZ73" s="26"/>
      <c r="NA73" s="26"/>
      <c r="NB73" s="26"/>
      <c r="NC73" s="26"/>
      <c r="ND73" s="26"/>
      <c r="NE73" s="26"/>
      <c r="NF73" s="26"/>
      <c r="NG73" s="26"/>
      <c r="NH73" s="26"/>
      <c r="NI73" s="26"/>
      <c r="NJ73" s="26"/>
      <c r="NK73" s="26"/>
      <c r="NL73" s="26"/>
      <c r="NM73" s="26"/>
      <c r="NN73" s="26"/>
      <c r="NO73" s="26"/>
      <c r="NP73" s="26"/>
      <c r="NQ73" s="26"/>
      <c r="NR73" s="26"/>
      <c r="NS73" s="26"/>
      <c r="NT73" s="26"/>
      <c r="NU73" s="26"/>
      <c r="NV73" s="26"/>
      <c r="NW73" s="26"/>
      <c r="NX73" s="26"/>
      <c r="NY73" s="26"/>
      <c r="NZ73" s="26"/>
      <c r="OA73" s="26"/>
      <c r="OB73" s="26"/>
      <c r="OC73" s="26"/>
      <c r="OD73" s="26"/>
      <c r="OE73" s="26"/>
      <c r="OF73" s="26"/>
      <c r="OG73" s="26"/>
      <c r="OH73" s="23"/>
      <c r="OI73" s="26"/>
      <c r="OJ73" s="26"/>
      <c r="OK73" s="26"/>
      <c r="OL73" s="26"/>
      <c r="OM73" s="26"/>
      <c r="ON73" s="26"/>
      <c r="OO73" s="26"/>
      <c r="OP73" s="26"/>
      <c r="OQ73" s="26"/>
      <c r="OR73" s="26"/>
      <c r="OS73" s="26"/>
      <c r="OT73" s="26"/>
      <c r="OU73" s="26"/>
      <c r="OV73" s="26"/>
      <c r="OW73" s="26"/>
      <c r="OX73" s="26"/>
      <c r="OY73" s="26"/>
      <c r="OZ73" s="26"/>
      <c r="PA73" s="26"/>
      <c r="PB73" s="26"/>
      <c r="PC73" s="26"/>
      <c r="PD73" s="26"/>
      <c r="PE73" s="26"/>
      <c r="PF73" s="26"/>
      <c r="PG73" s="26"/>
      <c r="PH73" s="26"/>
      <c r="PI73" s="26"/>
      <c r="PJ73" s="26"/>
      <c r="PK73" s="26"/>
      <c r="PL73" s="26"/>
      <c r="PM73" s="26"/>
      <c r="PN73" s="26"/>
      <c r="PO73" s="26"/>
      <c r="PP73" s="26"/>
      <c r="PQ73" s="26"/>
      <c r="PR73" s="26"/>
      <c r="PS73" s="26"/>
      <c r="PT73" s="26"/>
    </row>
    <row r="74" spans="1:436" ht="15.75" thickBot="1" x14ac:dyDescent="0.3">
      <c r="A74" s="24"/>
      <c r="B74" s="25"/>
      <c r="C74" s="25"/>
      <c r="D74" s="25"/>
      <c r="E74" s="24"/>
      <c r="F74" s="24"/>
      <c r="G74" s="24"/>
      <c r="H74" s="23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3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3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23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3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3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3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6"/>
      <c r="JT74" s="26"/>
      <c r="JU74" s="23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6"/>
      <c r="KR74" s="26"/>
      <c r="KS74" s="26"/>
      <c r="KT74" s="26"/>
      <c r="KU74" s="26"/>
      <c r="KV74" s="26"/>
      <c r="KW74" s="26"/>
      <c r="KX74" s="26"/>
      <c r="KY74" s="26"/>
      <c r="KZ74" s="26"/>
      <c r="LA74" s="26"/>
      <c r="LB74" s="26"/>
      <c r="LC74" s="26"/>
      <c r="LD74" s="26"/>
      <c r="LE74" s="26"/>
      <c r="LF74" s="26"/>
      <c r="LG74" s="26"/>
      <c r="LH74" s="23"/>
      <c r="LI74" s="26"/>
      <c r="LJ74" s="26"/>
      <c r="LK74" s="26"/>
      <c r="LL74" s="26"/>
      <c r="LM74" s="26"/>
      <c r="LN74" s="26"/>
      <c r="LO74" s="26"/>
      <c r="LP74" s="26"/>
      <c r="LQ74" s="26"/>
      <c r="LR74" s="26"/>
      <c r="LS74" s="26"/>
      <c r="LT74" s="26"/>
      <c r="LU74" s="26"/>
      <c r="LV74" s="26"/>
      <c r="LW74" s="26"/>
      <c r="LX74" s="26"/>
      <c r="LY74" s="26"/>
      <c r="LZ74" s="26"/>
      <c r="MA74" s="26"/>
      <c r="MB74" s="26"/>
      <c r="MC74" s="26"/>
      <c r="MD74" s="26"/>
      <c r="ME74" s="26"/>
      <c r="MF74" s="26"/>
      <c r="MG74" s="26"/>
      <c r="MH74" s="26"/>
      <c r="MI74" s="26"/>
      <c r="MJ74" s="26"/>
      <c r="MK74" s="26"/>
      <c r="ML74" s="26"/>
      <c r="MM74" s="26"/>
      <c r="MN74" s="26"/>
      <c r="MO74" s="26"/>
      <c r="MP74" s="26"/>
      <c r="MQ74" s="26"/>
      <c r="MR74" s="26"/>
      <c r="MS74" s="26"/>
      <c r="MT74" s="26"/>
      <c r="MU74" s="23"/>
      <c r="MV74" s="26"/>
      <c r="MW74" s="26"/>
      <c r="MX74" s="26"/>
      <c r="MY74" s="26"/>
      <c r="MZ74" s="26"/>
      <c r="NA74" s="26"/>
      <c r="NB74" s="26"/>
      <c r="NC74" s="26"/>
      <c r="ND74" s="26"/>
      <c r="NE74" s="26"/>
      <c r="NF74" s="26"/>
      <c r="NG74" s="26"/>
      <c r="NH74" s="26"/>
      <c r="NI74" s="26"/>
      <c r="NJ74" s="26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6"/>
      <c r="OG74" s="26"/>
      <c r="OH74" s="23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6"/>
      <c r="PK74" s="26"/>
      <c r="PL74" s="26"/>
      <c r="PM74" s="26"/>
      <c r="PN74" s="26"/>
      <c r="PO74" s="26"/>
      <c r="PP74" s="26"/>
      <c r="PQ74" s="26"/>
      <c r="PR74" s="26"/>
      <c r="PS74" s="26"/>
      <c r="PT74" s="26"/>
    </row>
    <row r="75" spans="1:436" ht="15.75" thickBot="1" x14ac:dyDescent="0.3">
      <c r="A75" s="24"/>
      <c r="B75" s="25"/>
      <c r="C75" s="25"/>
      <c r="D75" s="25"/>
      <c r="E75" s="24"/>
      <c r="F75" s="24"/>
      <c r="G75" s="24"/>
      <c r="H75" s="23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3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3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23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3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3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3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6"/>
      <c r="JT75" s="26"/>
      <c r="JU75" s="23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6"/>
      <c r="LG75" s="26"/>
      <c r="LH75" s="23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H75" s="26"/>
      <c r="MI75" s="26"/>
      <c r="MJ75" s="26"/>
      <c r="MK75" s="26"/>
      <c r="ML75" s="26"/>
      <c r="MM75" s="26"/>
      <c r="MN75" s="26"/>
      <c r="MO75" s="26"/>
      <c r="MP75" s="26"/>
      <c r="MQ75" s="26"/>
      <c r="MR75" s="26"/>
      <c r="MS75" s="26"/>
      <c r="MT75" s="26"/>
      <c r="MU75" s="23"/>
      <c r="MV75" s="26"/>
      <c r="MW75" s="26"/>
      <c r="MX75" s="26"/>
      <c r="MY75" s="26"/>
      <c r="MZ75" s="26"/>
      <c r="NA75" s="26"/>
      <c r="NB75" s="26"/>
      <c r="NC75" s="26"/>
      <c r="ND75" s="26"/>
      <c r="NE75" s="26"/>
      <c r="NF75" s="26"/>
      <c r="NG75" s="26"/>
      <c r="NH75" s="26"/>
      <c r="NI75" s="26"/>
      <c r="NJ75" s="26"/>
      <c r="NK75" s="26"/>
      <c r="NL75" s="26"/>
      <c r="NM75" s="26"/>
      <c r="NN75" s="26"/>
      <c r="NO75" s="26"/>
      <c r="NP75" s="26"/>
      <c r="NQ75" s="26"/>
      <c r="NR75" s="26"/>
      <c r="NS75" s="26"/>
      <c r="NT75" s="26"/>
      <c r="NU75" s="26"/>
      <c r="NV75" s="26"/>
      <c r="NW75" s="26"/>
      <c r="NX75" s="26"/>
      <c r="NY75" s="26"/>
      <c r="NZ75" s="26"/>
      <c r="OA75" s="26"/>
      <c r="OB75" s="26"/>
      <c r="OC75" s="26"/>
      <c r="OD75" s="26"/>
      <c r="OE75" s="26"/>
      <c r="OF75" s="26"/>
      <c r="OG75" s="26"/>
      <c r="OH75" s="23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  <c r="PQ75" s="26"/>
      <c r="PR75" s="26"/>
      <c r="PS75" s="26"/>
      <c r="PT75" s="26"/>
    </row>
    <row r="76" spans="1:436" ht="15.75" thickBot="1" x14ac:dyDescent="0.3">
      <c r="A76" s="24"/>
      <c r="B76" s="25"/>
      <c r="C76" s="25"/>
      <c r="D76" s="25"/>
      <c r="E76" s="24"/>
      <c r="F76" s="24"/>
      <c r="G76" s="24"/>
      <c r="H76" s="23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3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3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23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3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3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3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6"/>
      <c r="JO76" s="26"/>
      <c r="JP76" s="26"/>
      <c r="JQ76" s="26"/>
      <c r="JR76" s="26"/>
      <c r="JS76" s="26"/>
      <c r="JT76" s="26"/>
      <c r="JU76" s="23"/>
      <c r="JV76" s="26"/>
      <c r="JW76" s="26"/>
      <c r="JX76" s="26"/>
      <c r="JY76" s="26"/>
      <c r="JZ76" s="26"/>
      <c r="KA76" s="26"/>
      <c r="KB76" s="26"/>
      <c r="KC76" s="26"/>
      <c r="KD76" s="26"/>
      <c r="KE76" s="26"/>
      <c r="KF76" s="26"/>
      <c r="KG76" s="26"/>
      <c r="KH76" s="26"/>
      <c r="KI76" s="26"/>
      <c r="KJ76" s="26"/>
      <c r="KK76" s="26"/>
      <c r="KL76" s="26"/>
      <c r="KM76" s="26"/>
      <c r="KN76" s="26"/>
      <c r="KO76" s="26"/>
      <c r="KP76" s="26"/>
      <c r="KQ76" s="26"/>
      <c r="KR76" s="26"/>
      <c r="KS76" s="26"/>
      <c r="KT76" s="26"/>
      <c r="KU76" s="26"/>
      <c r="KV76" s="26"/>
      <c r="KW76" s="26"/>
      <c r="KX76" s="26"/>
      <c r="KY76" s="26"/>
      <c r="KZ76" s="26"/>
      <c r="LA76" s="26"/>
      <c r="LB76" s="26"/>
      <c r="LC76" s="26"/>
      <c r="LD76" s="26"/>
      <c r="LE76" s="26"/>
      <c r="LF76" s="26"/>
      <c r="LG76" s="26"/>
      <c r="LH76" s="23"/>
      <c r="LI76" s="26"/>
      <c r="LJ76" s="26"/>
      <c r="LK76" s="26"/>
      <c r="LL76" s="26"/>
      <c r="LM76" s="26"/>
      <c r="LN76" s="26"/>
      <c r="LO76" s="26"/>
      <c r="LP76" s="26"/>
      <c r="LQ76" s="26"/>
      <c r="LR76" s="26"/>
      <c r="LS76" s="26"/>
      <c r="LT76" s="26"/>
      <c r="LU76" s="26"/>
      <c r="LV76" s="26"/>
      <c r="LW76" s="26"/>
      <c r="LX76" s="26"/>
      <c r="LY76" s="26"/>
      <c r="LZ76" s="26"/>
      <c r="MA76" s="26"/>
      <c r="MB76" s="26"/>
      <c r="MC76" s="26"/>
      <c r="MD76" s="26"/>
      <c r="ME76" s="26"/>
      <c r="MF76" s="26"/>
      <c r="MG76" s="26"/>
      <c r="MH76" s="26"/>
      <c r="MI76" s="26"/>
      <c r="MJ76" s="26"/>
      <c r="MK76" s="26"/>
      <c r="ML76" s="26"/>
      <c r="MM76" s="26"/>
      <c r="MN76" s="26"/>
      <c r="MO76" s="26"/>
      <c r="MP76" s="26"/>
      <c r="MQ76" s="26"/>
      <c r="MR76" s="26"/>
      <c r="MS76" s="26"/>
      <c r="MT76" s="26"/>
      <c r="MU76" s="23"/>
      <c r="MV76" s="26"/>
      <c r="MW76" s="26"/>
      <c r="MX76" s="26"/>
      <c r="MY76" s="26"/>
      <c r="MZ76" s="26"/>
      <c r="NA76" s="26"/>
      <c r="NB76" s="26"/>
      <c r="NC76" s="26"/>
      <c r="ND76" s="26"/>
      <c r="NE76" s="26"/>
      <c r="NF76" s="26"/>
      <c r="NG76" s="26"/>
      <c r="NH76" s="26"/>
      <c r="NI76" s="26"/>
      <c r="NJ76" s="26"/>
      <c r="NK76" s="26"/>
      <c r="NL76" s="26"/>
      <c r="NM76" s="26"/>
      <c r="NN76" s="26"/>
      <c r="NO76" s="26"/>
      <c r="NP76" s="26"/>
      <c r="NQ76" s="26"/>
      <c r="NR76" s="26"/>
      <c r="NS76" s="26"/>
      <c r="NT76" s="26"/>
      <c r="NU76" s="26"/>
      <c r="NV76" s="26"/>
      <c r="NW76" s="26"/>
      <c r="NX76" s="26"/>
      <c r="NY76" s="26"/>
      <c r="NZ76" s="26"/>
      <c r="OA76" s="26"/>
      <c r="OB76" s="26"/>
      <c r="OC76" s="26"/>
      <c r="OD76" s="26"/>
      <c r="OE76" s="26"/>
      <c r="OF76" s="26"/>
      <c r="OG76" s="26"/>
      <c r="OH76" s="23"/>
      <c r="OI76" s="26"/>
      <c r="OJ76" s="26"/>
      <c r="OK76" s="26"/>
      <c r="OL76" s="26"/>
      <c r="OM76" s="26"/>
      <c r="ON76" s="26"/>
      <c r="OO76" s="26"/>
      <c r="OP76" s="26"/>
      <c r="OQ76" s="26"/>
      <c r="OR76" s="26"/>
      <c r="OS76" s="26"/>
      <c r="OT76" s="26"/>
      <c r="OU76" s="26"/>
      <c r="OV76" s="26"/>
      <c r="OW76" s="26"/>
      <c r="OX76" s="26"/>
      <c r="OY76" s="26"/>
      <c r="OZ76" s="26"/>
      <c r="PA76" s="26"/>
      <c r="PB76" s="26"/>
      <c r="PC76" s="26"/>
      <c r="PD76" s="26"/>
      <c r="PE76" s="26"/>
      <c r="PF76" s="26"/>
      <c r="PG76" s="26"/>
      <c r="PH76" s="26"/>
      <c r="PI76" s="26"/>
      <c r="PJ76" s="26"/>
      <c r="PK76" s="26"/>
      <c r="PL76" s="26"/>
      <c r="PM76" s="26"/>
      <c r="PN76" s="26"/>
      <c r="PO76" s="26"/>
      <c r="PP76" s="26"/>
      <c r="PQ76" s="26"/>
      <c r="PR76" s="26"/>
      <c r="PS76" s="26"/>
      <c r="PT76" s="26"/>
    </row>
    <row r="77" spans="1:436" ht="15.75" thickBot="1" x14ac:dyDescent="0.3">
      <c r="A77" s="24"/>
      <c r="B77" s="25"/>
      <c r="C77" s="25"/>
      <c r="D77" s="25"/>
      <c r="E77" s="24"/>
      <c r="F77" s="24"/>
      <c r="G77" s="24"/>
      <c r="H77" s="23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3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3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23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3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3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3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6"/>
      <c r="JT77" s="26"/>
      <c r="JU77" s="23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  <c r="KO77" s="26"/>
      <c r="KP77" s="26"/>
      <c r="KQ77" s="26"/>
      <c r="KR77" s="26"/>
      <c r="KS77" s="26"/>
      <c r="KT77" s="26"/>
      <c r="KU77" s="26"/>
      <c r="KV77" s="26"/>
      <c r="KW77" s="26"/>
      <c r="KX77" s="26"/>
      <c r="KY77" s="26"/>
      <c r="KZ77" s="26"/>
      <c r="LA77" s="26"/>
      <c r="LB77" s="26"/>
      <c r="LC77" s="26"/>
      <c r="LD77" s="26"/>
      <c r="LE77" s="26"/>
      <c r="LF77" s="26"/>
      <c r="LG77" s="26"/>
      <c r="LH77" s="23"/>
      <c r="LI77" s="26"/>
      <c r="LJ77" s="26"/>
      <c r="LK77" s="26"/>
      <c r="LL77" s="26"/>
      <c r="LM77" s="26"/>
      <c r="LN77" s="26"/>
      <c r="LO77" s="26"/>
      <c r="LP77" s="26"/>
      <c r="LQ77" s="26"/>
      <c r="LR77" s="26"/>
      <c r="LS77" s="26"/>
      <c r="LT77" s="26"/>
      <c r="LU77" s="26"/>
      <c r="LV77" s="26"/>
      <c r="LW77" s="26"/>
      <c r="LX77" s="26"/>
      <c r="LY77" s="26"/>
      <c r="LZ77" s="26"/>
      <c r="MA77" s="26"/>
      <c r="MB77" s="26"/>
      <c r="MC77" s="26"/>
      <c r="MD77" s="26"/>
      <c r="ME77" s="26"/>
      <c r="MF77" s="26"/>
      <c r="MG77" s="26"/>
      <c r="MH77" s="26"/>
      <c r="MI77" s="26"/>
      <c r="MJ77" s="26"/>
      <c r="MK77" s="26"/>
      <c r="ML77" s="26"/>
      <c r="MM77" s="26"/>
      <c r="MN77" s="26"/>
      <c r="MO77" s="26"/>
      <c r="MP77" s="26"/>
      <c r="MQ77" s="26"/>
      <c r="MR77" s="26"/>
      <c r="MS77" s="26"/>
      <c r="MT77" s="26"/>
      <c r="MU77" s="23"/>
      <c r="MV77" s="26"/>
      <c r="MW77" s="26"/>
      <c r="MX77" s="26"/>
      <c r="MY77" s="26"/>
      <c r="MZ77" s="26"/>
      <c r="NA77" s="26"/>
      <c r="NB77" s="26"/>
      <c r="NC77" s="26"/>
      <c r="ND77" s="26"/>
      <c r="NE77" s="26"/>
      <c r="NF77" s="26"/>
      <c r="NG77" s="26"/>
      <c r="NH77" s="26"/>
      <c r="NI77" s="26"/>
      <c r="NJ77" s="26"/>
      <c r="NK77" s="26"/>
      <c r="NL77" s="26"/>
      <c r="NM77" s="26"/>
      <c r="NN77" s="26"/>
      <c r="NO77" s="26"/>
      <c r="NP77" s="26"/>
      <c r="NQ77" s="26"/>
      <c r="NR77" s="26"/>
      <c r="NS77" s="26"/>
      <c r="NT77" s="26"/>
      <c r="NU77" s="26"/>
      <c r="NV77" s="26"/>
      <c r="NW77" s="26"/>
      <c r="NX77" s="26"/>
      <c r="NY77" s="26"/>
      <c r="NZ77" s="26"/>
      <c r="OA77" s="26"/>
      <c r="OB77" s="26"/>
      <c r="OC77" s="26"/>
      <c r="OD77" s="26"/>
      <c r="OE77" s="26"/>
      <c r="OF77" s="26"/>
      <c r="OG77" s="26"/>
      <c r="OH77" s="23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6"/>
      <c r="PK77" s="26"/>
      <c r="PL77" s="26"/>
      <c r="PM77" s="26"/>
      <c r="PN77" s="26"/>
      <c r="PO77" s="26"/>
      <c r="PP77" s="26"/>
      <c r="PQ77" s="26"/>
      <c r="PR77" s="26"/>
      <c r="PS77" s="26"/>
      <c r="PT77" s="26"/>
    </row>
    <row r="78" spans="1:436" ht="15.75" thickBot="1" x14ac:dyDescent="0.3">
      <c r="A78" s="24"/>
      <c r="B78" s="25"/>
      <c r="C78" s="25"/>
      <c r="D78" s="25"/>
      <c r="E78" s="24"/>
      <c r="F78" s="24"/>
      <c r="G78" s="24"/>
      <c r="H78" s="23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3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3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82"/>
      <c r="DT78" s="82"/>
      <c r="DU78" s="23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3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3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3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6"/>
      <c r="JT78" s="26"/>
      <c r="JU78" s="23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6"/>
      <c r="LG78" s="26"/>
      <c r="LH78" s="23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H78" s="26"/>
      <c r="MI78" s="26"/>
      <c r="MJ78" s="26"/>
      <c r="MK78" s="26"/>
      <c r="ML78" s="26"/>
      <c r="MM78" s="26"/>
      <c r="MN78" s="26"/>
      <c r="MO78" s="26"/>
      <c r="MP78" s="26"/>
      <c r="MQ78" s="26"/>
      <c r="MR78" s="26"/>
      <c r="MS78" s="26"/>
      <c r="MT78" s="26"/>
      <c r="MU78" s="23"/>
      <c r="MV78" s="26"/>
      <c r="MW78" s="26"/>
      <c r="MX78" s="26"/>
      <c r="MY78" s="26"/>
      <c r="MZ78" s="26"/>
      <c r="NA78" s="26"/>
      <c r="NB78" s="26"/>
      <c r="NC78" s="26"/>
      <c r="ND78" s="26"/>
      <c r="NE78" s="26"/>
      <c r="NF78" s="26"/>
      <c r="NG78" s="26"/>
      <c r="NH78" s="26"/>
      <c r="NI78" s="26"/>
      <c r="NJ78" s="26"/>
      <c r="NK78" s="26"/>
      <c r="NL78" s="26"/>
      <c r="NM78" s="26"/>
      <c r="NN78" s="26"/>
      <c r="NO78" s="26"/>
      <c r="NP78" s="26"/>
      <c r="NQ78" s="26"/>
      <c r="NR78" s="26"/>
      <c r="NS78" s="26"/>
      <c r="NT78" s="26"/>
      <c r="NU78" s="26"/>
      <c r="NV78" s="26"/>
      <c r="NW78" s="26"/>
      <c r="NX78" s="26"/>
      <c r="NY78" s="26"/>
      <c r="NZ78" s="26"/>
      <c r="OA78" s="26"/>
      <c r="OB78" s="26"/>
      <c r="OC78" s="26"/>
      <c r="OD78" s="26"/>
      <c r="OE78" s="26"/>
      <c r="OF78" s="26"/>
      <c r="OG78" s="26"/>
      <c r="OH78" s="23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  <c r="PQ78" s="26"/>
      <c r="PR78" s="26"/>
      <c r="PS78" s="26"/>
      <c r="PT78" s="26"/>
    </row>
    <row r="79" spans="1:436" ht="21.95" customHeight="1" thickBot="1" x14ac:dyDescent="0.3">
      <c r="A79" s="87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  <c r="FU79" s="88"/>
      <c r="FV79" s="88"/>
      <c r="FW79" s="88"/>
      <c r="FX79" s="88"/>
      <c r="FY79" s="88"/>
      <c r="FZ79" s="88"/>
      <c r="GA79" s="88"/>
      <c r="GB79" s="88"/>
      <c r="GC79" s="88"/>
      <c r="GD79" s="88"/>
      <c r="GE79" s="88"/>
      <c r="GF79" s="88"/>
      <c r="GG79" s="88"/>
      <c r="GH79" s="88"/>
      <c r="GI79" s="88"/>
      <c r="GJ79" s="88"/>
      <c r="GK79" s="88"/>
      <c r="GL79" s="88"/>
      <c r="GM79" s="88"/>
      <c r="GN79" s="88"/>
      <c r="GO79" s="88"/>
      <c r="GP79" s="88"/>
      <c r="GQ79" s="88"/>
      <c r="GR79" s="88"/>
      <c r="GS79" s="88"/>
      <c r="GT79" s="88"/>
      <c r="GU79" s="88"/>
      <c r="GV79" s="88"/>
      <c r="GW79" s="88"/>
      <c r="GX79" s="88"/>
      <c r="GY79" s="88"/>
      <c r="GZ79" s="88"/>
      <c r="HA79" s="88"/>
      <c r="HB79" s="88"/>
      <c r="HC79" s="88"/>
      <c r="HD79" s="88"/>
      <c r="HE79" s="88"/>
      <c r="HF79" s="88"/>
      <c r="HG79" s="88"/>
      <c r="HH79" s="88"/>
      <c r="HI79" s="88"/>
      <c r="HJ79" s="88"/>
      <c r="HK79" s="88"/>
      <c r="HL79" s="88"/>
      <c r="HM79" s="88"/>
      <c r="HN79" s="88"/>
      <c r="HO79" s="88"/>
      <c r="HP79" s="88"/>
      <c r="HQ79" s="88"/>
      <c r="HR79" s="88"/>
      <c r="HS79" s="88"/>
      <c r="HT79" s="88"/>
      <c r="HU79" s="88"/>
      <c r="HV79" s="88"/>
      <c r="HW79" s="88"/>
      <c r="HX79" s="88"/>
      <c r="HY79" s="88"/>
      <c r="HZ79" s="88"/>
      <c r="IA79" s="88"/>
      <c r="IB79" s="88"/>
      <c r="IC79" s="88"/>
      <c r="ID79" s="88"/>
      <c r="IE79" s="88"/>
      <c r="IF79" s="88"/>
      <c r="IG79" s="88"/>
      <c r="IH79" s="88"/>
      <c r="II79" s="88"/>
      <c r="IJ79" s="88"/>
      <c r="IK79" s="88"/>
      <c r="IL79" s="88"/>
      <c r="IM79" s="88"/>
      <c r="IN79" s="88"/>
      <c r="IO79" s="88"/>
      <c r="IP79" s="88"/>
      <c r="IQ79" s="88"/>
      <c r="IR79" s="88"/>
      <c r="IS79" s="88"/>
      <c r="IT79" s="88"/>
      <c r="IU79" s="88"/>
      <c r="IV79" s="88"/>
      <c r="IW79" s="88"/>
      <c r="IX79" s="88"/>
      <c r="IY79" s="88"/>
      <c r="IZ79" s="88"/>
      <c r="JA79" s="88"/>
      <c r="JB79" s="88"/>
      <c r="JC79" s="88"/>
      <c r="JD79" s="88"/>
      <c r="JE79" s="88"/>
      <c r="JF79" s="88"/>
      <c r="JG79" s="88"/>
      <c r="JH79" s="88"/>
      <c r="JI79" s="88"/>
      <c r="JJ79" s="88"/>
      <c r="JK79" s="88"/>
      <c r="JL79" s="88"/>
      <c r="JM79" s="88"/>
      <c r="JN79" s="88"/>
      <c r="JO79" s="88"/>
      <c r="JP79" s="88"/>
      <c r="JQ79" s="88"/>
      <c r="JR79" s="88"/>
      <c r="JS79" s="88"/>
      <c r="JT79" s="88"/>
      <c r="JU79" s="88"/>
      <c r="JV79" s="88"/>
      <c r="JW79" s="88"/>
      <c r="JX79" s="88"/>
      <c r="JY79" s="88"/>
      <c r="JZ79" s="88"/>
      <c r="KA79" s="88"/>
      <c r="KB79" s="88"/>
      <c r="KC79" s="88"/>
      <c r="KD79" s="88"/>
      <c r="KE79" s="88"/>
      <c r="KF79" s="88"/>
      <c r="KG79" s="88"/>
      <c r="KH79" s="88"/>
      <c r="KI79" s="88"/>
      <c r="KJ79" s="88"/>
      <c r="KK79" s="88"/>
      <c r="KL79" s="88"/>
      <c r="KM79" s="88"/>
      <c r="KN79" s="88"/>
      <c r="KO79" s="88"/>
      <c r="KP79" s="88"/>
      <c r="KQ79" s="88"/>
      <c r="KR79" s="88"/>
      <c r="KS79" s="88"/>
      <c r="KT79" s="88"/>
      <c r="KU79" s="88"/>
      <c r="KV79" s="88"/>
      <c r="KW79" s="88"/>
      <c r="KX79" s="88"/>
      <c r="KY79" s="88"/>
      <c r="KZ79" s="88"/>
      <c r="LA79" s="88"/>
      <c r="LB79" s="88"/>
      <c r="LC79" s="88"/>
      <c r="LD79" s="88"/>
      <c r="LE79" s="88"/>
      <c r="LF79" s="88"/>
      <c r="LG79" s="88"/>
      <c r="LH79" s="88"/>
      <c r="LI79" s="88"/>
      <c r="LJ79" s="88"/>
      <c r="LK79" s="88"/>
      <c r="LL79" s="88"/>
      <c r="LM79" s="88"/>
      <c r="LN79" s="88"/>
      <c r="LO79" s="88"/>
      <c r="LP79" s="88"/>
      <c r="LQ79" s="88"/>
      <c r="LR79" s="88"/>
      <c r="LS79" s="88"/>
      <c r="LT79" s="88"/>
      <c r="LU79" s="88"/>
      <c r="LV79" s="88"/>
      <c r="LW79" s="88"/>
      <c r="LX79" s="88"/>
      <c r="LY79" s="88"/>
      <c r="LZ79" s="88"/>
      <c r="MA79" s="88"/>
      <c r="MB79" s="88"/>
      <c r="MC79" s="88"/>
      <c r="MD79" s="88"/>
      <c r="ME79" s="88"/>
      <c r="MF79" s="88"/>
      <c r="MG79" s="88"/>
      <c r="MH79" s="88"/>
      <c r="MI79" s="88"/>
      <c r="MJ79" s="88"/>
      <c r="MK79" s="88"/>
      <c r="ML79" s="88"/>
      <c r="MM79" s="88"/>
      <c r="MN79" s="88"/>
      <c r="MO79" s="88"/>
      <c r="MP79" s="88"/>
      <c r="MQ79" s="88"/>
      <c r="MR79" s="88"/>
      <c r="MS79" s="88"/>
      <c r="MT79" s="88"/>
      <c r="MU79" s="88"/>
      <c r="MV79" s="88"/>
      <c r="MW79" s="88"/>
      <c r="MX79" s="88"/>
      <c r="MY79" s="88"/>
      <c r="MZ79" s="88"/>
      <c r="NA79" s="88"/>
      <c r="NB79" s="88"/>
      <c r="NC79" s="88"/>
      <c r="ND79" s="88"/>
      <c r="NE79" s="88"/>
      <c r="NF79" s="88"/>
      <c r="NG79" s="88"/>
      <c r="NH79" s="88"/>
      <c r="NI79" s="88"/>
      <c r="NJ79" s="88"/>
      <c r="NK79" s="88"/>
      <c r="NL79" s="88"/>
      <c r="NM79" s="88"/>
      <c r="NN79" s="88"/>
      <c r="NO79" s="88"/>
      <c r="NP79" s="88"/>
      <c r="NQ79" s="88"/>
      <c r="NR79" s="88"/>
      <c r="NS79" s="88"/>
      <c r="NT79" s="88"/>
      <c r="NU79" s="88"/>
      <c r="NV79" s="88"/>
      <c r="NW79" s="88"/>
      <c r="NX79" s="88"/>
      <c r="NY79" s="88"/>
      <c r="NZ79" s="88"/>
      <c r="OA79" s="88"/>
      <c r="OB79" s="88"/>
      <c r="OC79" s="88"/>
      <c r="OD79" s="88"/>
      <c r="OE79" s="88"/>
      <c r="OF79" s="88"/>
      <c r="OG79" s="88"/>
      <c r="OH79" s="88"/>
      <c r="OI79" s="88"/>
      <c r="OJ79" s="88"/>
      <c r="OK79" s="88"/>
      <c r="OL79" s="88"/>
      <c r="OM79" s="88"/>
      <c r="ON79" s="88"/>
      <c r="OO79" s="88"/>
      <c r="OP79" s="88"/>
      <c r="OQ79" s="88"/>
      <c r="OR79" s="88"/>
      <c r="OS79" s="88"/>
      <c r="OT79" s="88"/>
      <c r="OU79" s="88"/>
      <c r="OV79" s="88"/>
      <c r="OW79" s="88"/>
      <c r="OX79" s="88"/>
      <c r="OY79" s="88"/>
      <c r="OZ79" s="88"/>
      <c r="PA79" s="88"/>
      <c r="PB79" s="88"/>
      <c r="PC79" s="88"/>
      <c r="PD79" s="88"/>
      <c r="PE79" s="88"/>
      <c r="PF79" s="88"/>
      <c r="PG79" s="88"/>
      <c r="PH79" s="88"/>
      <c r="PI79" s="88"/>
      <c r="PJ79" s="88"/>
      <c r="PK79" s="88"/>
      <c r="PL79" s="88"/>
      <c r="PM79" s="88"/>
      <c r="PN79" s="88"/>
      <c r="PO79" s="88"/>
      <c r="PP79" s="88"/>
      <c r="PQ79" s="88"/>
      <c r="PR79" s="88"/>
      <c r="PS79" s="88"/>
      <c r="PT79" s="89"/>
    </row>
    <row r="80" spans="1:436" ht="15.75" thickBot="1" x14ac:dyDescent="0.3">
      <c r="A80" s="24"/>
      <c r="B80" s="25"/>
      <c r="C80" s="25"/>
      <c r="D80" s="25"/>
      <c r="E80" s="24"/>
      <c r="F80" s="24"/>
      <c r="G80" s="24"/>
      <c r="H80" s="23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3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3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82"/>
      <c r="DT80" s="82"/>
      <c r="DU80" s="23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3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3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3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6"/>
      <c r="JT80" s="26"/>
      <c r="JU80" s="23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  <c r="KO80" s="26"/>
      <c r="KP80" s="26"/>
      <c r="KQ80" s="26"/>
      <c r="KR80" s="26"/>
      <c r="KS80" s="26"/>
      <c r="KT80" s="26"/>
      <c r="KU80" s="26"/>
      <c r="KV80" s="26"/>
      <c r="KW80" s="26"/>
      <c r="KX80" s="26"/>
      <c r="KY80" s="26"/>
      <c r="KZ80" s="26"/>
      <c r="LA80" s="26"/>
      <c r="LB80" s="26"/>
      <c r="LC80" s="26"/>
      <c r="LD80" s="26"/>
      <c r="LE80" s="26"/>
      <c r="LF80" s="26"/>
      <c r="LG80" s="26"/>
      <c r="LH80" s="23"/>
      <c r="LI80" s="26"/>
      <c r="LJ80" s="26"/>
      <c r="LK80" s="26"/>
      <c r="LL80" s="26"/>
      <c r="LM80" s="26"/>
      <c r="LN80" s="26"/>
      <c r="LO80" s="26"/>
      <c r="LP80" s="26"/>
      <c r="LQ80" s="26"/>
      <c r="LR80" s="26"/>
      <c r="LS80" s="26"/>
      <c r="LT80" s="26"/>
      <c r="LU80" s="26"/>
      <c r="LV80" s="26"/>
      <c r="LW80" s="26"/>
      <c r="LX80" s="26"/>
      <c r="LY80" s="26"/>
      <c r="LZ80" s="26"/>
      <c r="MA80" s="26"/>
      <c r="MB80" s="26"/>
      <c r="MC80" s="26"/>
      <c r="MD80" s="26"/>
      <c r="ME80" s="26"/>
      <c r="MF80" s="26"/>
      <c r="MG80" s="26"/>
      <c r="MH80" s="26"/>
      <c r="MI80" s="26"/>
      <c r="MJ80" s="26"/>
      <c r="MK80" s="26"/>
      <c r="ML80" s="26"/>
      <c r="MM80" s="26"/>
      <c r="MN80" s="26"/>
      <c r="MO80" s="26"/>
      <c r="MP80" s="26"/>
      <c r="MQ80" s="26"/>
      <c r="MR80" s="26"/>
      <c r="MS80" s="26"/>
      <c r="MT80" s="26"/>
      <c r="MU80" s="23"/>
      <c r="MV80" s="26"/>
      <c r="MW80" s="26"/>
      <c r="MX80" s="26"/>
      <c r="MY80" s="26"/>
      <c r="MZ80" s="26"/>
      <c r="NA80" s="26"/>
      <c r="NB80" s="26"/>
      <c r="NC80" s="26"/>
      <c r="ND80" s="26"/>
      <c r="NE80" s="26"/>
      <c r="NF80" s="26"/>
      <c r="NG80" s="26"/>
      <c r="NH80" s="26"/>
      <c r="NI80" s="26"/>
      <c r="NJ80" s="26"/>
      <c r="NK80" s="26"/>
      <c r="NL80" s="26"/>
      <c r="NM80" s="26"/>
      <c r="NN80" s="26"/>
      <c r="NO80" s="26"/>
      <c r="NP80" s="26"/>
      <c r="NQ80" s="26"/>
      <c r="NR80" s="26"/>
      <c r="NS80" s="26"/>
      <c r="NT80" s="26"/>
      <c r="NU80" s="26"/>
      <c r="NV80" s="26"/>
      <c r="NW80" s="26"/>
      <c r="NX80" s="26"/>
      <c r="NY80" s="26"/>
      <c r="NZ80" s="26"/>
      <c r="OA80" s="26"/>
      <c r="OB80" s="26"/>
      <c r="OC80" s="26"/>
      <c r="OD80" s="26"/>
      <c r="OE80" s="26"/>
      <c r="OF80" s="26"/>
      <c r="OG80" s="26"/>
      <c r="OH80" s="23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26"/>
      <c r="PK80" s="26"/>
      <c r="PL80" s="26"/>
      <c r="PM80" s="26"/>
      <c r="PN80" s="26"/>
      <c r="PO80" s="26"/>
      <c r="PP80" s="26"/>
      <c r="PQ80" s="26"/>
      <c r="PR80" s="26"/>
      <c r="PS80" s="26"/>
      <c r="PT80" s="26"/>
    </row>
    <row r="81" spans="1:436" ht="15.75" thickBot="1" x14ac:dyDescent="0.3">
      <c r="A81" s="24"/>
      <c r="B81" s="25"/>
      <c r="C81" s="25"/>
      <c r="D81" s="25"/>
      <c r="E81" s="24"/>
      <c r="F81" s="24"/>
      <c r="G81" s="24"/>
      <c r="H81" s="23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3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3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82"/>
      <c r="DT81" s="82"/>
      <c r="DU81" s="23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3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3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3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6"/>
      <c r="JT81" s="26"/>
      <c r="JU81" s="23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  <c r="KO81" s="26"/>
      <c r="KP81" s="26"/>
      <c r="KQ81" s="26"/>
      <c r="KR81" s="26"/>
      <c r="KS81" s="26"/>
      <c r="KT81" s="26"/>
      <c r="KU81" s="26"/>
      <c r="KV81" s="26"/>
      <c r="KW81" s="26"/>
      <c r="KX81" s="26"/>
      <c r="KY81" s="26"/>
      <c r="KZ81" s="26"/>
      <c r="LA81" s="26"/>
      <c r="LB81" s="26"/>
      <c r="LC81" s="26"/>
      <c r="LD81" s="26"/>
      <c r="LE81" s="26"/>
      <c r="LF81" s="26"/>
      <c r="LG81" s="26"/>
      <c r="LH81" s="23"/>
      <c r="LI81" s="26"/>
      <c r="LJ81" s="26"/>
      <c r="LK81" s="26"/>
      <c r="LL81" s="26"/>
      <c r="LM81" s="26"/>
      <c r="LN81" s="26"/>
      <c r="LO81" s="26"/>
      <c r="LP81" s="26"/>
      <c r="LQ81" s="26"/>
      <c r="LR81" s="26"/>
      <c r="LS81" s="26"/>
      <c r="LT81" s="26"/>
      <c r="LU81" s="26"/>
      <c r="LV81" s="26"/>
      <c r="LW81" s="26"/>
      <c r="LX81" s="26"/>
      <c r="LY81" s="26"/>
      <c r="LZ81" s="26"/>
      <c r="MA81" s="26"/>
      <c r="MB81" s="26"/>
      <c r="MC81" s="26"/>
      <c r="MD81" s="26"/>
      <c r="ME81" s="26"/>
      <c r="MF81" s="26"/>
      <c r="MG81" s="26"/>
      <c r="MH81" s="26"/>
      <c r="MI81" s="26"/>
      <c r="MJ81" s="26"/>
      <c r="MK81" s="26"/>
      <c r="ML81" s="26"/>
      <c r="MM81" s="26"/>
      <c r="MN81" s="26"/>
      <c r="MO81" s="26"/>
      <c r="MP81" s="26"/>
      <c r="MQ81" s="26"/>
      <c r="MR81" s="26"/>
      <c r="MS81" s="26"/>
      <c r="MT81" s="26"/>
      <c r="MU81" s="23"/>
      <c r="MV81" s="26"/>
      <c r="MW81" s="26"/>
      <c r="MX81" s="26"/>
      <c r="MY81" s="26"/>
      <c r="MZ81" s="26"/>
      <c r="NA81" s="26"/>
      <c r="NB81" s="26"/>
      <c r="NC81" s="26"/>
      <c r="ND81" s="26"/>
      <c r="NE81" s="26"/>
      <c r="NF81" s="26"/>
      <c r="NG81" s="26"/>
      <c r="NH81" s="26"/>
      <c r="NI81" s="26"/>
      <c r="NJ81" s="26"/>
      <c r="NK81" s="26"/>
      <c r="NL81" s="26"/>
      <c r="NM81" s="26"/>
      <c r="NN81" s="26"/>
      <c r="NO81" s="26"/>
      <c r="NP81" s="26"/>
      <c r="NQ81" s="26"/>
      <c r="NR81" s="26"/>
      <c r="NS81" s="26"/>
      <c r="NT81" s="26"/>
      <c r="NU81" s="26"/>
      <c r="NV81" s="26"/>
      <c r="NW81" s="26"/>
      <c r="NX81" s="26"/>
      <c r="NY81" s="26"/>
      <c r="NZ81" s="26"/>
      <c r="OA81" s="26"/>
      <c r="OB81" s="26"/>
      <c r="OC81" s="26"/>
      <c r="OD81" s="26"/>
      <c r="OE81" s="26"/>
      <c r="OF81" s="26"/>
      <c r="OG81" s="26"/>
      <c r="OH81" s="23"/>
      <c r="OI81" s="26"/>
      <c r="OJ81" s="26"/>
      <c r="OK81" s="26"/>
      <c r="OL81" s="26"/>
      <c r="OM81" s="26"/>
      <c r="ON81" s="26"/>
      <c r="OO81" s="26"/>
      <c r="OP81" s="26"/>
      <c r="OQ81" s="26"/>
      <c r="OR81" s="26"/>
      <c r="OS81" s="26"/>
      <c r="OT81" s="26"/>
      <c r="OU81" s="26"/>
      <c r="OV81" s="26"/>
      <c r="OW81" s="26"/>
      <c r="OX81" s="26"/>
      <c r="OY81" s="26"/>
      <c r="OZ81" s="26"/>
      <c r="PA81" s="26"/>
      <c r="PB81" s="26"/>
      <c r="PC81" s="26"/>
      <c r="PD81" s="26"/>
      <c r="PE81" s="26"/>
      <c r="PF81" s="26"/>
      <c r="PG81" s="26"/>
      <c r="PH81" s="26"/>
      <c r="PI81" s="26"/>
      <c r="PJ81" s="26"/>
      <c r="PK81" s="26"/>
      <c r="PL81" s="26"/>
      <c r="PM81" s="26"/>
      <c r="PN81" s="26"/>
      <c r="PO81" s="26"/>
      <c r="PP81" s="26"/>
      <c r="PQ81" s="26"/>
      <c r="PR81" s="26"/>
      <c r="PS81" s="26"/>
      <c r="PT81" s="26"/>
    </row>
    <row r="82" spans="1:436" ht="15.75" thickBot="1" x14ac:dyDescent="0.3">
      <c r="A82" s="24"/>
      <c r="B82" s="25"/>
      <c r="C82" s="25"/>
      <c r="D82" s="25"/>
      <c r="E82" s="24"/>
      <c r="F82" s="24"/>
      <c r="G82" s="24"/>
      <c r="H82" s="23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3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3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23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3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3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3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6"/>
      <c r="JT82" s="26"/>
      <c r="JU82" s="23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  <c r="KO82" s="26"/>
      <c r="KP82" s="26"/>
      <c r="KQ82" s="26"/>
      <c r="KR82" s="26"/>
      <c r="KS82" s="26"/>
      <c r="KT82" s="26"/>
      <c r="KU82" s="26"/>
      <c r="KV82" s="26"/>
      <c r="KW82" s="26"/>
      <c r="KX82" s="26"/>
      <c r="KY82" s="26"/>
      <c r="KZ82" s="26"/>
      <c r="LA82" s="26"/>
      <c r="LB82" s="26"/>
      <c r="LC82" s="26"/>
      <c r="LD82" s="26"/>
      <c r="LE82" s="26"/>
      <c r="LF82" s="26"/>
      <c r="LG82" s="26"/>
      <c r="LH82" s="23"/>
      <c r="LI82" s="26"/>
      <c r="LJ82" s="26"/>
      <c r="LK82" s="26"/>
      <c r="LL82" s="26"/>
      <c r="LM82" s="26"/>
      <c r="LN82" s="26"/>
      <c r="LO82" s="26"/>
      <c r="LP82" s="26"/>
      <c r="LQ82" s="26"/>
      <c r="LR82" s="26"/>
      <c r="LS82" s="26"/>
      <c r="LT82" s="26"/>
      <c r="LU82" s="26"/>
      <c r="LV82" s="26"/>
      <c r="LW82" s="26"/>
      <c r="LX82" s="26"/>
      <c r="LY82" s="26"/>
      <c r="LZ82" s="26"/>
      <c r="MA82" s="26"/>
      <c r="MB82" s="26"/>
      <c r="MC82" s="26"/>
      <c r="MD82" s="26"/>
      <c r="ME82" s="26"/>
      <c r="MF82" s="26"/>
      <c r="MG82" s="26"/>
      <c r="MH82" s="26"/>
      <c r="MI82" s="26"/>
      <c r="MJ82" s="26"/>
      <c r="MK82" s="26"/>
      <c r="ML82" s="26"/>
      <c r="MM82" s="26"/>
      <c r="MN82" s="26"/>
      <c r="MO82" s="26"/>
      <c r="MP82" s="26"/>
      <c r="MQ82" s="26"/>
      <c r="MR82" s="26"/>
      <c r="MS82" s="26"/>
      <c r="MT82" s="26"/>
      <c r="MU82" s="23"/>
      <c r="MV82" s="26"/>
      <c r="MW82" s="26"/>
      <c r="MX82" s="26"/>
      <c r="MY82" s="26"/>
      <c r="MZ82" s="26"/>
      <c r="NA82" s="26"/>
      <c r="NB82" s="26"/>
      <c r="NC82" s="26"/>
      <c r="ND82" s="26"/>
      <c r="NE82" s="26"/>
      <c r="NF82" s="26"/>
      <c r="NG82" s="26"/>
      <c r="NH82" s="26"/>
      <c r="NI82" s="26"/>
      <c r="NJ82" s="26"/>
      <c r="NK82" s="26"/>
      <c r="NL82" s="26"/>
      <c r="NM82" s="26"/>
      <c r="NN82" s="26"/>
      <c r="NO82" s="26"/>
      <c r="NP82" s="26"/>
      <c r="NQ82" s="26"/>
      <c r="NR82" s="26"/>
      <c r="NS82" s="26"/>
      <c r="NT82" s="26"/>
      <c r="NU82" s="26"/>
      <c r="NV82" s="26"/>
      <c r="NW82" s="26"/>
      <c r="NX82" s="26"/>
      <c r="NY82" s="26"/>
      <c r="NZ82" s="26"/>
      <c r="OA82" s="26"/>
      <c r="OB82" s="26"/>
      <c r="OC82" s="26"/>
      <c r="OD82" s="26"/>
      <c r="OE82" s="26"/>
      <c r="OF82" s="26"/>
      <c r="OG82" s="26"/>
      <c r="OH82" s="23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6"/>
      <c r="PK82" s="26"/>
      <c r="PL82" s="26"/>
      <c r="PM82" s="26"/>
      <c r="PN82" s="26"/>
      <c r="PO82" s="26"/>
      <c r="PP82" s="26"/>
      <c r="PQ82" s="26"/>
      <c r="PR82" s="26"/>
      <c r="PS82" s="26"/>
      <c r="PT82" s="26"/>
    </row>
    <row r="83" spans="1:436" ht="15.75" thickBot="1" x14ac:dyDescent="0.3">
      <c r="A83" s="24"/>
      <c r="B83" s="25"/>
      <c r="C83" s="25"/>
      <c r="D83" s="25"/>
      <c r="E83" s="24"/>
      <c r="F83" s="24"/>
      <c r="G83" s="24"/>
      <c r="H83" s="23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3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3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23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3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3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3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6"/>
      <c r="JT83" s="26"/>
      <c r="JU83" s="23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  <c r="KO83" s="26"/>
      <c r="KP83" s="26"/>
      <c r="KQ83" s="26"/>
      <c r="KR83" s="26"/>
      <c r="KS83" s="26"/>
      <c r="KT83" s="26"/>
      <c r="KU83" s="26"/>
      <c r="KV83" s="26"/>
      <c r="KW83" s="26"/>
      <c r="KX83" s="26"/>
      <c r="KY83" s="26"/>
      <c r="KZ83" s="26"/>
      <c r="LA83" s="26"/>
      <c r="LB83" s="26"/>
      <c r="LC83" s="26"/>
      <c r="LD83" s="26"/>
      <c r="LE83" s="26"/>
      <c r="LF83" s="26"/>
      <c r="LG83" s="26"/>
      <c r="LH83" s="23"/>
      <c r="LI83" s="26"/>
      <c r="LJ83" s="26"/>
      <c r="LK83" s="26"/>
      <c r="LL83" s="26"/>
      <c r="LM83" s="26"/>
      <c r="LN83" s="26"/>
      <c r="LO83" s="26"/>
      <c r="LP83" s="26"/>
      <c r="LQ83" s="26"/>
      <c r="LR83" s="26"/>
      <c r="LS83" s="26"/>
      <c r="LT83" s="26"/>
      <c r="LU83" s="26"/>
      <c r="LV83" s="26"/>
      <c r="LW83" s="26"/>
      <c r="LX83" s="26"/>
      <c r="LY83" s="26"/>
      <c r="LZ83" s="26"/>
      <c r="MA83" s="26"/>
      <c r="MB83" s="26"/>
      <c r="MC83" s="26"/>
      <c r="MD83" s="26"/>
      <c r="ME83" s="26"/>
      <c r="MF83" s="26"/>
      <c r="MG83" s="26"/>
      <c r="MH83" s="26"/>
      <c r="MI83" s="26"/>
      <c r="MJ83" s="26"/>
      <c r="MK83" s="26"/>
      <c r="ML83" s="26"/>
      <c r="MM83" s="26"/>
      <c r="MN83" s="26"/>
      <c r="MO83" s="26"/>
      <c r="MP83" s="26"/>
      <c r="MQ83" s="26"/>
      <c r="MR83" s="26"/>
      <c r="MS83" s="26"/>
      <c r="MT83" s="26"/>
      <c r="MU83" s="23"/>
      <c r="MV83" s="26"/>
      <c r="MW83" s="26"/>
      <c r="MX83" s="26"/>
      <c r="MY83" s="26"/>
      <c r="MZ83" s="26"/>
      <c r="NA83" s="26"/>
      <c r="NB83" s="26"/>
      <c r="NC83" s="26"/>
      <c r="ND83" s="26"/>
      <c r="NE83" s="26"/>
      <c r="NF83" s="26"/>
      <c r="NG83" s="26"/>
      <c r="NH83" s="26"/>
      <c r="NI83" s="26"/>
      <c r="NJ83" s="26"/>
      <c r="NK83" s="26"/>
      <c r="NL83" s="26"/>
      <c r="NM83" s="26"/>
      <c r="NN83" s="26"/>
      <c r="NO83" s="26"/>
      <c r="NP83" s="26"/>
      <c r="NQ83" s="26"/>
      <c r="NR83" s="26"/>
      <c r="NS83" s="26"/>
      <c r="NT83" s="26"/>
      <c r="NU83" s="26"/>
      <c r="NV83" s="26"/>
      <c r="NW83" s="26"/>
      <c r="NX83" s="26"/>
      <c r="NY83" s="26"/>
      <c r="NZ83" s="26"/>
      <c r="OA83" s="26"/>
      <c r="OB83" s="26"/>
      <c r="OC83" s="26"/>
      <c r="OD83" s="26"/>
      <c r="OE83" s="26"/>
      <c r="OF83" s="26"/>
      <c r="OG83" s="26"/>
      <c r="OH83" s="23"/>
      <c r="OI83" s="26"/>
      <c r="OJ83" s="26"/>
      <c r="OK83" s="26"/>
      <c r="OL83" s="26"/>
      <c r="OM83" s="26"/>
      <c r="ON83" s="26"/>
      <c r="OO83" s="26"/>
      <c r="OP83" s="26"/>
      <c r="OQ83" s="26"/>
      <c r="OR83" s="26"/>
      <c r="OS83" s="26"/>
      <c r="OT83" s="26"/>
      <c r="OU83" s="26"/>
      <c r="OV83" s="26"/>
      <c r="OW83" s="26"/>
      <c r="OX83" s="26"/>
      <c r="OY83" s="26"/>
      <c r="OZ83" s="26"/>
      <c r="PA83" s="26"/>
      <c r="PB83" s="26"/>
      <c r="PC83" s="26"/>
      <c r="PD83" s="26"/>
      <c r="PE83" s="26"/>
      <c r="PF83" s="26"/>
      <c r="PG83" s="26"/>
      <c r="PH83" s="26"/>
      <c r="PI83" s="26"/>
      <c r="PJ83" s="26"/>
      <c r="PK83" s="26"/>
      <c r="PL83" s="26"/>
      <c r="PM83" s="26"/>
      <c r="PN83" s="26"/>
      <c r="PO83" s="26"/>
      <c r="PP83" s="26"/>
      <c r="PQ83" s="26"/>
      <c r="PR83" s="26"/>
      <c r="PS83" s="26"/>
      <c r="PT83" s="26"/>
    </row>
    <row r="84" spans="1:436" ht="15.75" thickBot="1" x14ac:dyDescent="0.3">
      <c r="A84" s="24"/>
      <c r="B84" s="25"/>
      <c r="C84" s="25"/>
      <c r="D84" s="25"/>
      <c r="E84" s="24"/>
      <c r="F84" s="24"/>
      <c r="G84" s="24"/>
      <c r="H84" s="23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3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3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23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3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3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3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  <c r="JM84" s="26"/>
      <c r="JN84" s="26"/>
      <c r="JO84" s="26"/>
      <c r="JP84" s="26"/>
      <c r="JQ84" s="26"/>
      <c r="JR84" s="26"/>
      <c r="JS84" s="26"/>
      <c r="JT84" s="26"/>
      <c r="JU84" s="23"/>
      <c r="JV84" s="26"/>
      <c r="JW84" s="26"/>
      <c r="JX84" s="26"/>
      <c r="JY84" s="26"/>
      <c r="JZ84" s="26"/>
      <c r="KA84" s="26"/>
      <c r="KB84" s="26"/>
      <c r="KC84" s="26"/>
      <c r="KD84" s="26"/>
      <c r="KE84" s="26"/>
      <c r="KF84" s="26"/>
      <c r="KG84" s="26"/>
      <c r="KH84" s="26"/>
      <c r="KI84" s="26"/>
      <c r="KJ84" s="26"/>
      <c r="KK84" s="26"/>
      <c r="KL84" s="26"/>
      <c r="KM84" s="26"/>
      <c r="KN84" s="26"/>
      <c r="KO84" s="26"/>
      <c r="KP84" s="26"/>
      <c r="KQ84" s="26"/>
      <c r="KR84" s="26"/>
      <c r="KS84" s="26"/>
      <c r="KT84" s="26"/>
      <c r="KU84" s="26"/>
      <c r="KV84" s="26"/>
      <c r="KW84" s="26"/>
      <c r="KX84" s="26"/>
      <c r="KY84" s="26"/>
      <c r="KZ84" s="26"/>
      <c r="LA84" s="26"/>
      <c r="LB84" s="26"/>
      <c r="LC84" s="26"/>
      <c r="LD84" s="26"/>
      <c r="LE84" s="26"/>
      <c r="LF84" s="26"/>
      <c r="LG84" s="26"/>
      <c r="LH84" s="23"/>
      <c r="LI84" s="26"/>
      <c r="LJ84" s="26"/>
      <c r="LK84" s="26"/>
      <c r="LL84" s="26"/>
      <c r="LM84" s="26"/>
      <c r="LN84" s="26"/>
      <c r="LO84" s="26"/>
      <c r="LP84" s="26"/>
      <c r="LQ84" s="26"/>
      <c r="LR84" s="26"/>
      <c r="LS84" s="26"/>
      <c r="LT84" s="26"/>
      <c r="LU84" s="26"/>
      <c r="LV84" s="26"/>
      <c r="LW84" s="26"/>
      <c r="LX84" s="26"/>
      <c r="LY84" s="26"/>
      <c r="LZ84" s="26"/>
      <c r="MA84" s="26"/>
      <c r="MB84" s="26"/>
      <c r="MC84" s="26"/>
      <c r="MD84" s="26"/>
      <c r="ME84" s="26"/>
      <c r="MF84" s="26"/>
      <c r="MG84" s="26"/>
      <c r="MH84" s="26"/>
      <c r="MI84" s="26"/>
      <c r="MJ84" s="26"/>
      <c r="MK84" s="26"/>
      <c r="ML84" s="26"/>
      <c r="MM84" s="26"/>
      <c r="MN84" s="26"/>
      <c r="MO84" s="26"/>
      <c r="MP84" s="26"/>
      <c r="MQ84" s="26"/>
      <c r="MR84" s="26"/>
      <c r="MS84" s="26"/>
      <c r="MT84" s="26"/>
      <c r="MU84" s="23"/>
      <c r="MV84" s="26"/>
      <c r="MW84" s="26"/>
      <c r="MX84" s="26"/>
      <c r="MY84" s="26"/>
      <c r="MZ84" s="26"/>
      <c r="NA84" s="26"/>
      <c r="NB84" s="26"/>
      <c r="NC84" s="26"/>
      <c r="ND84" s="26"/>
      <c r="NE84" s="26"/>
      <c r="NF84" s="26"/>
      <c r="NG84" s="26"/>
      <c r="NH84" s="26"/>
      <c r="NI84" s="26"/>
      <c r="NJ84" s="26"/>
      <c r="NK84" s="26"/>
      <c r="NL84" s="26"/>
      <c r="NM84" s="26"/>
      <c r="NN84" s="26"/>
      <c r="NO84" s="26"/>
      <c r="NP84" s="26"/>
      <c r="NQ84" s="26"/>
      <c r="NR84" s="26"/>
      <c r="NS84" s="26"/>
      <c r="NT84" s="26"/>
      <c r="NU84" s="26"/>
      <c r="NV84" s="26"/>
      <c r="NW84" s="26"/>
      <c r="NX84" s="26"/>
      <c r="NY84" s="26"/>
      <c r="NZ84" s="26"/>
      <c r="OA84" s="26"/>
      <c r="OB84" s="26"/>
      <c r="OC84" s="26"/>
      <c r="OD84" s="26"/>
      <c r="OE84" s="26"/>
      <c r="OF84" s="26"/>
      <c r="OG84" s="26"/>
      <c r="OH84" s="23"/>
      <c r="OI84" s="26"/>
      <c r="OJ84" s="26"/>
      <c r="OK84" s="26"/>
      <c r="OL84" s="26"/>
      <c r="OM84" s="26"/>
      <c r="ON84" s="26"/>
      <c r="OO84" s="26"/>
      <c r="OP84" s="26"/>
      <c r="OQ84" s="26"/>
      <c r="OR84" s="26"/>
      <c r="OS84" s="26"/>
      <c r="OT84" s="26"/>
      <c r="OU84" s="26"/>
      <c r="OV84" s="26"/>
      <c r="OW84" s="26"/>
      <c r="OX84" s="26"/>
      <c r="OY84" s="26"/>
      <c r="OZ84" s="26"/>
      <c r="PA84" s="26"/>
      <c r="PB84" s="26"/>
      <c r="PC84" s="26"/>
      <c r="PD84" s="26"/>
      <c r="PE84" s="26"/>
      <c r="PF84" s="26"/>
      <c r="PG84" s="26"/>
      <c r="PH84" s="26"/>
      <c r="PI84" s="26"/>
      <c r="PJ84" s="26"/>
      <c r="PK84" s="26"/>
      <c r="PL84" s="26"/>
      <c r="PM84" s="26"/>
      <c r="PN84" s="26"/>
      <c r="PO84" s="26"/>
      <c r="PP84" s="26"/>
      <c r="PQ84" s="26"/>
      <c r="PR84" s="26"/>
      <c r="PS84" s="26"/>
      <c r="PT84" s="26"/>
    </row>
    <row r="85" spans="1:436" ht="15.75" thickBot="1" x14ac:dyDescent="0.3">
      <c r="A85" s="24"/>
      <c r="B85" s="25"/>
      <c r="C85" s="25"/>
      <c r="D85" s="25"/>
      <c r="E85" s="24"/>
      <c r="F85" s="24"/>
      <c r="G85" s="24"/>
      <c r="H85" s="23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3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3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23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3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3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3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6"/>
      <c r="JT85" s="26"/>
      <c r="JU85" s="23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6"/>
      <c r="LG85" s="26"/>
      <c r="LH85" s="23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H85" s="26"/>
      <c r="MI85" s="26"/>
      <c r="MJ85" s="26"/>
      <c r="MK85" s="26"/>
      <c r="ML85" s="26"/>
      <c r="MM85" s="26"/>
      <c r="MN85" s="26"/>
      <c r="MO85" s="26"/>
      <c r="MP85" s="26"/>
      <c r="MQ85" s="26"/>
      <c r="MR85" s="26"/>
      <c r="MS85" s="26"/>
      <c r="MT85" s="26"/>
      <c r="MU85" s="23"/>
      <c r="MV85" s="26"/>
      <c r="MW85" s="26"/>
      <c r="MX85" s="26"/>
      <c r="MY85" s="26"/>
      <c r="MZ85" s="26"/>
      <c r="NA85" s="26"/>
      <c r="NB85" s="26"/>
      <c r="NC85" s="26"/>
      <c r="ND85" s="26"/>
      <c r="NE85" s="26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6"/>
      <c r="OG85" s="26"/>
      <c r="OH85" s="23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  <c r="PQ85" s="26"/>
      <c r="PR85" s="26"/>
      <c r="PS85" s="26"/>
      <c r="PT85" s="26"/>
    </row>
    <row r="86" spans="1:436" ht="15.75" thickBot="1" x14ac:dyDescent="0.3">
      <c r="A86" s="24"/>
      <c r="B86" s="25"/>
      <c r="C86" s="25"/>
      <c r="D86" s="25"/>
      <c r="E86" s="24"/>
      <c r="F86" s="24"/>
      <c r="G86" s="24"/>
      <c r="H86" s="23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3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3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23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3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3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3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6"/>
      <c r="JT86" s="26"/>
      <c r="JU86" s="23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6"/>
      <c r="KR86" s="26"/>
      <c r="KS86" s="26"/>
      <c r="KT86" s="26"/>
      <c r="KU86" s="26"/>
      <c r="KV86" s="26"/>
      <c r="KW86" s="26"/>
      <c r="KX86" s="26"/>
      <c r="KY86" s="26"/>
      <c r="KZ86" s="26"/>
      <c r="LA86" s="26"/>
      <c r="LB86" s="26"/>
      <c r="LC86" s="26"/>
      <c r="LD86" s="26"/>
      <c r="LE86" s="26"/>
      <c r="LF86" s="26"/>
      <c r="LG86" s="26"/>
      <c r="LH86" s="23"/>
      <c r="LI86" s="26"/>
      <c r="LJ86" s="26"/>
      <c r="LK86" s="26"/>
      <c r="LL86" s="26"/>
      <c r="LM86" s="26"/>
      <c r="LN86" s="26"/>
      <c r="LO86" s="26"/>
      <c r="LP86" s="26"/>
      <c r="LQ86" s="26"/>
      <c r="LR86" s="26"/>
      <c r="LS86" s="26"/>
      <c r="LT86" s="26"/>
      <c r="LU86" s="26"/>
      <c r="LV86" s="26"/>
      <c r="LW86" s="26"/>
      <c r="LX86" s="26"/>
      <c r="LY86" s="26"/>
      <c r="LZ86" s="26"/>
      <c r="MA86" s="26"/>
      <c r="MB86" s="26"/>
      <c r="MC86" s="26"/>
      <c r="MD86" s="26"/>
      <c r="ME86" s="26"/>
      <c r="MF86" s="26"/>
      <c r="MG86" s="26"/>
      <c r="MH86" s="26"/>
      <c r="MI86" s="26"/>
      <c r="MJ86" s="26"/>
      <c r="MK86" s="26"/>
      <c r="ML86" s="26"/>
      <c r="MM86" s="26"/>
      <c r="MN86" s="26"/>
      <c r="MO86" s="26"/>
      <c r="MP86" s="26"/>
      <c r="MQ86" s="26"/>
      <c r="MR86" s="26"/>
      <c r="MS86" s="26"/>
      <c r="MT86" s="26"/>
      <c r="MU86" s="23"/>
      <c r="MV86" s="26"/>
      <c r="MW86" s="26"/>
      <c r="MX86" s="26"/>
      <c r="MY86" s="26"/>
      <c r="MZ86" s="26"/>
      <c r="NA86" s="26"/>
      <c r="NB86" s="26"/>
      <c r="NC86" s="26"/>
      <c r="ND86" s="26"/>
      <c r="NE86" s="26"/>
      <c r="NF86" s="26"/>
      <c r="NG86" s="26"/>
      <c r="NH86" s="26"/>
      <c r="NI86" s="26"/>
      <c r="NJ86" s="26"/>
      <c r="NK86" s="26"/>
      <c r="NL86" s="26"/>
      <c r="NM86" s="26"/>
      <c r="NN86" s="26"/>
      <c r="NO86" s="26"/>
      <c r="NP86" s="26"/>
      <c r="NQ86" s="26"/>
      <c r="NR86" s="26"/>
      <c r="NS86" s="26"/>
      <c r="NT86" s="26"/>
      <c r="NU86" s="26"/>
      <c r="NV86" s="26"/>
      <c r="NW86" s="26"/>
      <c r="NX86" s="26"/>
      <c r="NY86" s="26"/>
      <c r="NZ86" s="26"/>
      <c r="OA86" s="26"/>
      <c r="OB86" s="26"/>
      <c r="OC86" s="26"/>
      <c r="OD86" s="26"/>
      <c r="OE86" s="26"/>
      <c r="OF86" s="26"/>
      <c r="OG86" s="26"/>
      <c r="OH86" s="23"/>
      <c r="OI86" s="26"/>
      <c r="OJ86" s="26"/>
      <c r="OK86" s="26"/>
      <c r="OL86" s="26"/>
      <c r="OM86" s="26"/>
      <c r="ON86" s="26"/>
      <c r="OO86" s="26"/>
      <c r="OP86" s="26"/>
      <c r="OQ86" s="26"/>
      <c r="OR86" s="26"/>
      <c r="OS86" s="26"/>
      <c r="OT86" s="26"/>
      <c r="OU86" s="26"/>
      <c r="OV86" s="26"/>
      <c r="OW86" s="26"/>
      <c r="OX86" s="26"/>
      <c r="OY86" s="26"/>
      <c r="OZ86" s="26"/>
      <c r="PA86" s="26"/>
      <c r="PB86" s="26"/>
      <c r="PC86" s="26"/>
      <c r="PD86" s="26"/>
      <c r="PE86" s="26"/>
      <c r="PF86" s="26"/>
      <c r="PG86" s="26"/>
      <c r="PH86" s="26"/>
      <c r="PI86" s="26"/>
      <c r="PJ86" s="26"/>
      <c r="PK86" s="26"/>
      <c r="PL86" s="26"/>
      <c r="PM86" s="26"/>
      <c r="PN86" s="26"/>
      <c r="PO86" s="26"/>
      <c r="PP86" s="26"/>
      <c r="PQ86" s="26"/>
      <c r="PR86" s="26"/>
      <c r="PS86" s="26"/>
      <c r="PT86" s="26"/>
    </row>
    <row r="87" spans="1:436" ht="21.95" customHeight="1" thickBot="1" x14ac:dyDescent="0.3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  <c r="FU87" s="88"/>
      <c r="FV87" s="88"/>
      <c r="FW87" s="88"/>
      <c r="FX87" s="88"/>
      <c r="FY87" s="88"/>
      <c r="FZ87" s="88"/>
      <c r="GA87" s="88"/>
      <c r="GB87" s="88"/>
      <c r="GC87" s="88"/>
      <c r="GD87" s="88"/>
      <c r="GE87" s="88"/>
      <c r="GF87" s="88"/>
      <c r="GG87" s="88"/>
      <c r="GH87" s="88"/>
      <c r="GI87" s="88"/>
      <c r="GJ87" s="88"/>
      <c r="GK87" s="88"/>
      <c r="GL87" s="88"/>
      <c r="GM87" s="88"/>
      <c r="GN87" s="88"/>
      <c r="GO87" s="88"/>
      <c r="GP87" s="88"/>
      <c r="GQ87" s="88"/>
      <c r="GR87" s="88"/>
      <c r="GS87" s="88"/>
      <c r="GT87" s="88"/>
      <c r="GU87" s="88"/>
      <c r="GV87" s="88"/>
      <c r="GW87" s="88"/>
      <c r="GX87" s="88"/>
      <c r="GY87" s="88"/>
      <c r="GZ87" s="88"/>
      <c r="HA87" s="88"/>
      <c r="HB87" s="88"/>
      <c r="HC87" s="88"/>
      <c r="HD87" s="88"/>
      <c r="HE87" s="88"/>
      <c r="HF87" s="88"/>
      <c r="HG87" s="88"/>
      <c r="HH87" s="88"/>
      <c r="HI87" s="88"/>
      <c r="HJ87" s="88"/>
      <c r="HK87" s="88"/>
      <c r="HL87" s="88"/>
      <c r="HM87" s="88"/>
      <c r="HN87" s="88"/>
      <c r="HO87" s="88"/>
      <c r="HP87" s="88"/>
      <c r="HQ87" s="88"/>
      <c r="HR87" s="88"/>
      <c r="HS87" s="88"/>
      <c r="HT87" s="88"/>
      <c r="HU87" s="88"/>
      <c r="HV87" s="88"/>
      <c r="HW87" s="88"/>
      <c r="HX87" s="88"/>
      <c r="HY87" s="88"/>
      <c r="HZ87" s="88"/>
      <c r="IA87" s="88"/>
      <c r="IB87" s="88"/>
      <c r="IC87" s="88"/>
      <c r="ID87" s="88"/>
      <c r="IE87" s="88"/>
      <c r="IF87" s="88"/>
      <c r="IG87" s="88"/>
      <c r="IH87" s="88"/>
      <c r="II87" s="88"/>
      <c r="IJ87" s="88"/>
      <c r="IK87" s="88"/>
      <c r="IL87" s="88"/>
      <c r="IM87" s="88"/>
      <c r="IN87" s="88"/>
      <c r="IO87" s="88"/>
      <c r="IP87" s="88"/>
      <c r="IQ87" s="88"/>
      <c r="IR87" s="88"/>
      <c r="IS87" s="88"/>
      <c r="IT87" s="88"/>
      <c r="IU87" s="88"/>
      <c r="IV87" s="88"/>
      <c r="IW87" s="88"/>
      <c r="IX87" s="88"/>
      <c r="IY87" s="88"/>
      <c r="IZ87" s="88"/>
      <c r="JA87" s="88"/>
      <c r="JB87" s="88"/>
      <c r="JC87" s="88"/>
      <c r="JD87" s="88"/>
      <c r="JE87" s="88"/>
      <c r="JF87" s="88"/>
      <c r="JG87" s="88"/>
      <c r="JH87" s="88"/>
      <c r="JI87" s="88"/>
      <c r="JJ87" s="88"/>
      <c r="JK87" s="88"/>
      <c r="JL87" s="88"/>
      <c r="JM87" s="88"/>
      <c r="JN87" s="88"/>
      <c r="JO87" s="88"/>
      <c r="JP87" s="88"/>
      <c r="JQ87" s="88"/>
      <c r="JR87" s="88"/>
      <c r="JS87" s="88"/>
      <c r="JT87" s="88"/>
      <c r="JU87" s="88"/>
      <c r="JV87" s="88"/>
      <c r="JW87" s="88"/>
      <c r="JX87" s="88"/>
      <c r="JY87" s="88"/>
      <c r="JZ87" s="88"/>
      <c r="KA87" s="88"/>
      <c r="KB87" s="88"/>
      <c r="KC87" s="88"/>
      <c r="KD87" s="88"/>
      <c r="KE87" s="88"/>
      <c r="KF87" s="88"/>
      <c r="KG87" s="88"/>
      <c r="KH87" s="88"/>
      <c r="KI87" s="88"/>
      <c r="KJ87" s="88"/>
      <c r="KK87" s="88"/>
      <c r="KL87" s="88"/>
      <c r="KM87" s="88"/>
      <c r="KN87" s="88"/>
      <c r="KO87" s="88"/>
      <c r="KP87" s="88"/>
      <c r="KQ87" s="88"/>
      <c r="KR87" s="88"/>
      <c r="KS87" s="88"/>
      <c r="KT87" s="88"/>
      <c r="KU87" s="88"/>
      <c r="KV87" s="88"/>
      <c r="KW87" s="88"/>
      <c r="KX87" s="88"/>
      <c r="KY87" s="88"/>
      <c r="KZ87" s="88"/>
      <c r="LA87" s="88"/>
      <c r="LB87" s="88"/>
      <c r="LC87" s="88"/>
      <c r="LD87" s="88"/>
      <c r="LE87" s="88"/>
      <c r="LF87" s="88"/>
      <c r="LG87" s="88"/>
      <c r="LH87" s="88"/>
      <c r="LI87" s="88"/>
      <c r="LJ87" s="88"/>
      <c r="LK87" s="88"/>
      <c r="LL87" s="88"/>
      <c r="LM87" s="88"/>
      <c r="LN87" s="88"/>
      <c r="LO87" s="88"/>
      <c r="LP87" s="88"/>
      <c r="LQ87" s="88"/>
      <c r="LR87" s="88"/>
      <c r="LS87" s="88"/>
      <c r="LT87" s="88"/>
      <c r="LU87" s="88"/>
      <c r="LV87" s="88"/>
      <c r="LW87" s="88"/>
      <c r="LX87" s="88"/>
      <c r="LY87" s="88"/>
      <c r="LZ87" s="88"/>
      <c r="MA87" s="88"/>
      <c r="MB87" s="88"/>
      <c r="MC87" s="88"/>
      <c r="MD87" s="88"/>
      <c r="ME87" s="88"/>
      <c r="MF87" s="88"/>
      <c r="MG87" s="88"/>
      <c r="MH87" s="88"/>
      <c r="MI87" s="88"/>
      <c r="MJ87" s="88"/>
      <c r="MK87" s="88"/>
      <c r="ML87" s="88"/>
      <c r="MM87" s="88"/>
      <c r="MN87" s="88"/>
      <c r="MO87" s="88"/>
      <c r="MP87" s="88"/>
      <c r="MQ87" s="88"/>
      <c r="MR87" s="88"/>
      <c r="MS87" s="88"/>
      <c r="MT87" s="88"/>
      <c r="MU87" s="88"/>
      <c r="MV87" s="88"/>
      <c r="MW87" s="88"/>
      <c r="MX87" s="88"/>
      <c r="MY87" s="88"/>
      <c r="MZ87" s="88"/>
      <c r="NA87" s="88"/>
      <c r="NB87" s="88"/>
      <c r="NC87" s="88"/>
      <c r="ND87" s="88"/>
      <c r="NE87" s="88"/>
      <c r="NF87" s="88"/>
      <c r="NG87" s="88"/>
      <c r="NH87" s="88"/>
      <c r="NI87" s="88"/>
      <c r="NJ87" s="88"/>
      <c r="NK87" s="88"/>
      <c r="NL87" s="88"/>
      <c r="NM87" s="88"/>
      <c r="NN87" s="88"/>
      <c r="NO87" s="88"/>
      <c r="NP87" s="88"/>
      <c r="NQ87" s="88"/>
      <c r="NR87" s="88"/>
      <c r="NS87" s="88"/>
      <c r="NT87" s="88"/>
      <c r="NU87" s="88"/>
      <c r="NV87" s="88"/>
      <c r="NW87" s="88"/>
      <c r="NX87" s="88"/>
      <c r="NY87" s="88"/>
      <c r="NZ87" s="88"/>
      <c r="OA87" s="88"/>
      <c r="OB87" s="88"/>
      <c r="OC87" s="88"/>
      <c r="OD87" s="88"/>
      <c r="OE87" s="88"/>
      <c r="OF87" s="88"/>
      <c r="OG87" s="88"/>
      <c r="OH87" s="88"/>
      <c r="OI87" s="88"/>
      <c r="OJ87" s="88"/>
      <c r="OK87" s="88"/>
      <c r="OL87" s="88"/>
      <c r="OM87" s="88"/>
      <c r="ON87" s="88"/>
      <c r="OO87" s="88"/>
      <c r="OP87" s="88"/>
      <c r="OQ87" s="88"/>
      <c r="OR87" s="88"/>
      <c r="OS87" s="88"/>
      <c r="OT87" s="88"/>
      <c r="OU87" s="88"/>
      <c r="OV87" s="88"/>
      <c r="OW87" s="88"/>
      <c r="OX87" s="88"/>
      <c r="OY87" s="88"/>
      <c r="OZ87" s="88"/>
      <c r="PA87" s="88"/>
      <c r="PB87" s="88"/>
      <c r="PC87" s="88"/>
      <c r="PD87" s="88"/>
      <c r="PE87" s="88"/>
      <c r="PF87" s="88"/>
      <c r="PG87" s="88"/>
      <c r="PH87" s="88"/>
      <c r="PI87" s="88"/>
      <c r="PJ87" s="88"/>
      <c r="PK87" s="88"/>
      <c r="PL87" s="88"/>
      <c r="PM87" s="88"/>
      <c r="PN87" s="88"/>
      <c r="PO87" s="88"/>
      <c r="PP87" s="88"/>
      <c r="PQ87" s="88"/>
      <c r="PR87" s="88"/>
      <c r="PS87" s="88"/>
      <c r="PT87" s="89"/>
    </row>
    <row r="88" spans="1:436" ht="15.75" thickBot="1" x14ac:dyDescent="0.3">
      <c r="A88" s="24"/>
      <c r="B88" s="25"/>
      <c r="C88" s="25"/>
      <c r="D88" s="25"/>
      <c r="E88" s="24"/>
      <c r="F88" s="24"/>
      <c r="G88" s="24"/>
      <c r="H88" s="23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3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3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82"/>
      <c r="DT88" s="82"/>
      <c r="DU88" s="23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3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3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3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6"/>
      <c r="JT88" s="26"/>
      <c r="JU88" s="23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  <c r="KO88" s="26"/>
      <c r="KP88" s="26"/>
      <c r="KQ88" s="26"/>
      <c r="KR88" s="26"/>
      <c r="KS88" s="26"/>
      <c r="KT88" s="26"/>
      <c r="KU88" s="26"/>
      <c r="KV88" s="26"/>
      <c r="KW88" s="26"/>
      <c r="KX88" s="26"/>
      <c r="KY88" s="26"/>
      <c r="KZ88" s="26"/>
      <c r="LA88" s="26"/>
      <c r="LB88" s="26"/>
      <c r="LC88" s="26"/>
      <c r="LD88" s="26"/>
      <c r="LE88" s="26"/>
      <c r="LF88" s="26"/>
      <c r="LG88" s="26"/>
      <c r="LH88" s="23"/>
      <c r="LI88" s="26"/>
      <c r="LJ88" s="26"/>
      <c r="LK88" s="26"/>
      <c r="LL88" s="26"/>
      <c r="LM88" s="26"/>
      <c r="LN88" s="26"/>
      <c r="LO88" s="26"/>
      <c r="LP88" s="26"/>
      <c r="LQ88" s="26"/>
      <c r="LR88" s="26"/>
      <c r="LS88" s="26"/>
      <c r="LT88" s="26"/>
      <c r="LU88" s="26"/>
      <c r="LV88" s="26"/>
      <c r="LW88" s="26"/>
      <c r="LX88" s="26"/>
      <c r="LY88" s="26"/>
      <c r="LZ88" s="26"/>
      <c r="MA88" s="26"/>
      <c r="MB88" s="26"/>
      <c r="MC88" s="26"/>
      <c r="MD88" s="26"/>
      <c r="ME88" s="26"/>
      <c r="MF88" s="26"/>
      <c r="MG88" s="26"/>
      <c r="MH88" s="26"/>
      <c r="MI88" s="26"/>
      <c r="MJ88" s="26"/>
      <c r="MK88" s="26"/>
      <c r="ML88" s="26"/>
      <c r="MM88" s="26"/>
      <c r="MN88" s="26"/>
      <c r="MO88" s="26"/>
      <c r="MP88" s="26"/>
      <c r="MQ88" s="26"/>
      <c r="MR88" s="26"/>
      <c r="MS88" s="26"/>
      <c r="MT88" s="26"/>
      <c r="MU88" s="23"/>
      <c r="MV88" s="26"/>
      <c r="MW88" s="26"/>
      <c r="MX88" s="26"/>
      <c r="MY88" s="26"/>
      <c r="MZ88" s="26"/>
      <c r="NA88" s="26"/>
      <c r="NB88" s="26"/>
      <c r="NC88" s="26"/>
      <c r="ND88" s="26"/>
      <c r="NE88" s="26"/>
      <c r="NF88" s="26"/>
      <c r="NG88" s="26"/>
      <c r="NH88" s="26"/>
      <c r="NI88" s="26"/>
      <c r="NJ88" s="26"/>
      <c r="NK88" s="26"/>
      <c r="NL88" s="26"/>
      <c r="NM88" s="26"/>
      <c r="NN88" s="26"/>
      <c r="NO88" s="26"/>
      <c r="NP88" s="26"/>
      <c r="NQ88" s="26"/>
      <c r="NR88" s="26"/>
      <c r="NS88" s="26"/>
      <c r="NT88" s="26"/>
      <c r="NU88" s="26"/>
      <c r="NV88" s="26"/>
      <c r="NW88" s="26"/>
      <c r="NX88" s="26"/>
      <c r="NY88" s="26"/>
      <c r="NZ88" s="26"/>
      <c r="OA88" s="26"/>
      <c r="OB88" s="26"/>
      <c r="OC88" s="26"/>
      <c r="OD88" s="26"/>
      <c r="OE88" s="26"/>
      <c r="OF88" s="26"/>
      <c r="OG88" s="26"/>
      <c r="OH88" s="23"/>
      <c r="OI88" s="26"/>
      <c r="OJ88" s="26"/>
      <c r="OK88" s="26"/>
      <c r="OL88" s="26"/>
      <c r="OM88" s="26"/>
      <c r="ON88" s="26"/>
      <c r="OO88" s="26"/>
      <c r="OP88" s="26"/>
      <c r="OQ88" s="26"/>
      <c r="OR88" s="26"/>
      <c r="OS88" s="26"/>
      <c r="OT88" s="26"/>
      <c r="OU88" s="26"/>
      <c r="OV88" s="26"/>
      <c r="OW88" s="26"/>
      <c r="OX88" s="26"/>
      <c r="OY88" s="26"/>
      <c r="OZ88" s="26"/>
      <c r="PA88" s="26"/>
      <c r="PB88" s="26"/>
      <c r="PC88" s="26"/>
      <c r="PD88" s="26"/>
      <c r="PE88" s="26"/>
      <c r="PF88" s="26"/>
      <c r="PG88" s="26"/>
      <c r="PH88" s="26"/>
      <c r="PI88" s="26"/>
      <c r="PJ88" s="26"/>
      <c r="PK88" s="26"/>
      <c r="PL88" s="26"/>
      <c r="PM88" s="26"/>
      <c r="PN88" s="26"/>
      <c r="PO88" s="26"/>
      <c r="PP88" s="26"/>
      <c r="PQ88" s="26"/>
      <c r="PR88" s="26"/>
      <c r="PS88" s="26"/>
      <c r="PT88" s="26"/>
    </row>
    <row r="89" spans="1:436" ht="15.75" thickBot="1" x14ac:dyDescent="0.3">
      <c r="A89" s="24"/>
      <c r="B89" s="25"/>
      <c r="C89" s="25"/>
      <c r="D89" s="25"/>
      <c r="E89" s="24"/>
      <c r="F89" s="24"/>
      <c r="G89" s="24"/>
      <c r="H89" s="23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3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3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82"/>
      <c r="DT89" s="82"/>
      <c r="DU89" s="23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3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3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3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6"/>
      <c r="JT89" s="26"/>
      <c r="JU89" s="23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  <c r="KO89" s="26"/>
      <c r="KP89" s="26"/>
      <c r="KQ89" s="26"/>
      <c r="KR89" s="26"/>
      <c r="KS89" s="26"/>
      <c r="KT89" s="26"/>
      <c r="KU89" s="26"/>
      <c r="KV89" s="26"/>
      <c r="KW89" s="26"/>
      <c r="KX89" s="26"/>
      <c r="KY89" s="26"/>
      <c r="KZ89" s="26"/>
      <c r="LA89" s="26"/>
      <c r="LB89" s="26"/>
      <c r="LC89" s="26"/>
      <c r="LD89" s="26"/>
      <c r="LE89" s="26"/>
      <c r="LF89" s="26"/>
      <c r="LG89" s="26"/>
      <c r="LH89" s="23"/>
      <c r="LI89" s="26"/>
      <c r="LJ89" s="26"/>
      <c r="LK89" s="26"/>
      <c r="LL89" s="26"/>
      <c r="LM89" s="26"/>
      <c r="LN89" s="26"/>
      <c r="LO89" s="26"/>
      <c r="LP89" s="26"/>
      <c r="LQ89" s="26"/>
      <c r="LR89" s="26"/>
      <c r="LS89" s="26"/>
      <c r="LT89" s="26"/>
      <c r="LU89" s="26"/>
      <c r="LV89" s="26"/>
      <c r="LW89" s="26"/>
      <c r="LX89" s="26"/>
      <c r="LY89" s="26"/>
      <c r="LZ89" s="26"/>
      <c r="MA89" s="26"/>
      <c r="MB89" s="26"/>
      <c r="MC89" s="26"/>
      <c r="MD89" s="26"/>
      <c r="ME89" s="26"/>
      <c r="MF89" s="26"/>
      <c r="MG89" s="26"/>
      <c r="MH89" s="26"/>
      <c r="MI89" s="26"/>
      <c r="MJ89" s="26"/>
      <c r="MK89" s="26"/>
      <c r="ML89" s="26"/>
      <c r="MM89" s="26"/>
      <c r="MN89" s="26"/>
      <c r="MO89" s="26"/>
      <c r="MP89" s="26"/>
      <c r="MQ89" s="26"/>
      <c r="MR89" s="26"/>
      <c r="MS89" s="26"/>
      <c r="MT89" s="26"/>
      <c r="MU89" s="23"/>
      <c r="MV89" s="26"/>
      <c r="MW89" s="26"/>
      <c r="MX89" s="26"/>
      <c r="MY89" s="26"/>
      <c r="MZ89" s="26"/>
      <c r="NA89" s="26"/>
      <c r="NB89" s="26"/>
      <c r="NC89" s="26"/>
      <c r="ND89" s="26"/>
      <c r="NE89" s="26"/>
      <c r="NF89" s="26"/>
      <c r="NG89" s="26"/>
      <c r="NH89" s="26"/>
      <c r="NI89" s="26"/>
      <c r="NJ89" s="26"/>
      <c r="NK89" s="26"/>
      <c r="NL89" s="26"/>
      <c r="NM89" s="26"/>
      <c r="NN89" s="26"/>
      <c r="NO89" s="26"/>
      <c r="NP89" s="26"/>
      <c r="NQ89" s="26"/>
      <c r="NR89" s="26"/>
      <c r="NS89" s="26"/>
      <c r="NT89" s="26"/>
      <c r="NU89" s="26"/>
      <c r="NV89" s="26"/>
      <c r="NW89" s="26"/>
      <c r="NX89" s="26"/>
      <c r="NY89" s="26"/>
      <c r="NZ89" s="26"/>
      <c r="OA89" s="26"/>
      <c r="OB89" s="26"/>
      <c r="OC89" s="26"/>
      <c r="OD89" s="26"/>
      <c r="OE89" s="26"/>
      <c r="OF89" s="26"/>
      <c r="OG89" s="26"/>
      <c r="OH89" s="23"/>
      <c r="OI89" s="26"/>
      <c r="OJ89" s="26"/>
      <c r="OK89" s="26"/>
      <c r="OL89" s="26"/>
      <c r="OM89" s="26"/>
      <c r="ON89" s="26"/>
      <c r="OO89" s="26"/>
      <c r="OP89" s="26"/>
      <c r="OQ89" s="26"/>
      <c r="OR89" s="26"/>
      <c r="OS89" s="26"/>
      <c r="OT89" s="26"/>
      <c r="OU89" s="26"/>
      <c r="OV89" s="26"/>
      <c r="OW89" s="26"/>
      <c r="OX89" s="26"/>
      <c r="OY89" s="26"/>
      <c r="OZ89" s="26"/>
      <c r="PA89" s="26"/>
      <c r="PB89" s="26"/>
      <c r="PC89" s="26"/>
      <c r="PD89" s="26"/>
      <c r="PE89" s="26"/>
      <c r="PF89" s="26"/>
      <c r="PG89" s="26"/>
      <c r="PH89" s="26"/>
      <c r="PI89" s="26"/>
      <c r="PJ89" s="26"/>
      <c r="PK89" s="26"/>
      <c r="PL89" s="26"/>
      <c r="PM89" s="26"/>
      <c r="PN89" s="26"/>
      <c r="PO89" s="26"/>
      <c r="PP89" s="26"/>
      <c r="PQ89" s="26"/>
      <c r="PR89" s="26"/>
      <c r="PS89" s="26"/>
      <c r="PT89" s="26"/>
    </row>
    <row r="90" spans="1:436" ht="15.75" thickBot="1" x14ac:dyDescent="0.3">
      <c r="A90" s="24"/>
      <c r="B90" s="25"/>
      <c r="C90" s="25"/>
      <c r="D90" s="25"/>
      <c r="E90" s="24"/>
      <c r="F90" s="24"/>
      <c r="G90" s="24"/>
      <c r="H90" s="23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3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3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23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3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3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3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6"/>
      <c r="JT90" s="26"/>
      <c r="JU90" s="23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  <c r="KO90" s="26"/>
      <c r="KP90" s="26"/>
      <c r="KQ90" s="26"/>
      <c r="KR90" s="26"/>
      <c r="KS90" s="26"/>
      <c r="KT90" s="26"/>
      <c r="KU90" s="26"/>
      <c r="KV90" s="26"/>
      <c r="KW90" s="26"/>
      <c r="KX90" s="26"/>
      <c r="KY90" s="26"/>
      <c r="KZ90" s="26"/>
      <c r="LA90" s="26"/>
      <c r="LB90" s="26"/>
      <c r="LC90" s="26"/>
      <c r="LD90" s="26"/>
      <c r="LE90" s="26"/>
      <c r="LF90" s="26"/>
      <c r="LG90" s="26"/>
      <c r="LH90" s="23"/>
      <c r="LI90" s="26"/>
      <c r="LJ90" s="26"/>
      <c r="LK90" s="26"/>
      <c r="LL90" s="26"/>
      <c r="LM90" s="26"/>
      <c r="LN90" s="26"/>
      <c r="LO90" s="26"/>
      <c r="LP90" s="26"/>
      <c r="LQ90" s="26"/>
      <c r="LR90" s="26"/>
      <c r="LS90" s="26"/>
      <c r="LT90" s="26"/>
      <c r="LU90" s="26"/>
      <c r="LV90" s="26"/>
      <c r="LW90" s="26"/>
      <c r="LX90" s="26"/>
      <c r="LY90" s="26"/>
      <c r="LZ90" s="26"/>
      <c r="MA90" s="26"/>
      <c r="MB90" s="26"/>
      <c r="MC90" s="26"/>
      <c r="MD90" s="26"/>
      <c r="ME90" s="26"/>
      <c r="MF90" s="26"/>
      <c r="MG90" s="26"/>
      <c r="MH90" s="26"/>
      <c r="MI90" s="26"/>
      <c r="MJ90" s="26"/>
      <c r="MK90" s="26"/>
      <c r="ML90" s="26"/>
      <c r="MM90" s="26"/>
      <c r="MN90" s="26"/>
      <c r="MO90" s="26"/>
      <c r="MP90" s="26"/>
      <c r="MQ90" s="26"/>
      <c r="MR90" s="26"/>
      <c r="MS90" s="26"/>
      <c r="MT90" s="26"/>
      <c r="MU90" s="23"/>
      <c r="MV90" s="26"/>
      <c r="MW90" s="26"/>
      <c r="MX90" s="26"/>
      <c r="MY90" s="26"/>
      <c r="MZ90" s="26"/>
      <c r="NA90" s="26"/>
      <c r="NB90" s="26"/>
      <c r="NC90" s="26"/>
      <c r="ND90" s="26"/>
      <c r="NE90" s="26"/>
      <c r="NF90" s="26"/>
      <c r="NG90" s="26"/>
      <c r="NH90" s="26"/>
      <c r="NI90" s="26"/>
      <c r="NJ90" s="26"/>
      <c r="NK90" s="26"/>
      <c r="NL90" s="26"/>
      <c r="NM90" s="26"/>
      <c r="NN90" s="26"/>
      <c r="NO90" s="26"/>
      <c r="NP90" s="26"/>
      <c r="NQ90" s="26"/>
      <c r="NR90" s="26"/>
      <c r="NS90" s="26"/>
      <c r="NT90" s="26"/>
      <c r="NU90" s="26"/>
      <c r="NV90" s="26"/>
      <c r="NW90" s="26"/>
      <c r="NX90" s="26"/>
      <c r="NY90" s="26"/>
      <c r="NZ90" s="26"/>
      <c r="OA90" s="26"/>
      <c r="OB90" s="26"/>
      <c r="OC90" s="26"/>
      <c r="OD90" s="26"/>
      <c r="OE90" s="26"/>
      <c r="OF90" s="26"/>
      <c r="OG90" s="26"/>
      <c r="OH90" s="23"/>
      <c r="OI90" s="26"/>
      <c r="OJ90" s="26"/>
      <c r="OK90" s="26"/>
      <c r="OL90" s="26"/>
      <c r="OM90" s="26"/>
      <c r="ON90" s="26"/>
      <c r="OO90" s="26"/>
      <c r="OP90" s="26"/>
      <c r="OQ90" s="26"/>
      <c r="OR90" s="26"/>
      <c r="OS90" s="26"/>
      <c r="OT90" s="26"/>
      <c r="OU90" s="26"/>
      <c r="OV90" s="26"/>
      <c r="OW90" s="26"/>
      <c r="OX90" s="26"/>
      <c r="OY90" s="26"/>
      <c r="OZ90" s="26"/>
      <c r="PA90" s="26"/>
      <c r="PB90" s="26"/>
      <c r="PC90" s="26"/>
      <c r="PD90" s="26"/>
      <c r="PE90" s="26"/>
      <c r="PF90" s="26"/>
      <c r="PG90" s="26"/>
      <c r="PH90" s="26"/>
      <c r="PI90" s="26"/>
      <c r="PJ90" s="26"/>
      <c r="PK90" s="26"/>
      <c r="PL90" s="26"/>
      <c r="PM90" s="26"/>
      <c r="PN90" s="26"/>
      <c r="PO90" s="26"/>
      <c r="PP90" s="26"/>
      <c r="PQ90" s="26"/>
      <c r="PR90" s="26"/>
      <c r="PS90" s="26"/>
      <c r="PT90" s="26"/>
    </row>
    <row r="91" spans="1:436" ht="26.1" customHeight="1" thickBot="1" x14ac:dyDescent="0.3">
      <c r="A91" s="24"/>
      <c r="B91" s="25"/>
      <c r="C91" s="25"/>
      <c r="D91" s="25"/>
      <c r="E91" s="24"/>
      <c r="F91" s="24"/>
      <c r="G91" s="24"/>
      <c r="H91" s="23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3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3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82"/>
      <c r="DT91" s="82"/>
      <c r="DU91" s="23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3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3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3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6"/>
      <c r="JT91" s="26"/>
      <c r="JU91" s="23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  <c r="KO91" s="26"/>
      <c r="KP91" s="26"/>
      <c r="KQ91" s="26"/>
      <c r="KR91" s="26"/>
      <c r="KS91" s="26"/>
      <c r="KT91" s="26"/>
      <c r="KU91" s="26"/>
      <c r="KV91" s="26"/>
      <c r="KW91" s="26"/>
      <c r="KX91" s="26"/>
      <c r="KY91" s="26"/>
      <c r="KZ91" s="26"/>
      <c r="LA91" s="26"/>
      <c r="LB91" s="26"/>
      <c r="LC91" s="26"/>
      <c r="LD91" s="26"/>
      <c r="LE91" s="26"/>
      <c r="LF91" s="26"/>
      <c r="LG91" s="26"/>
      <c r="LH91" s="23"/>
      <c r="LI91" s="26"/>
      <c r="LJ91" s="26"/>
      <c r="LK91" s="26"/>
      <c r="LL91" s="26"/>
      <c r="LM91" s="26"/>
      <c r="LN91" s="26"/>
      <c r="LO91" s="26"/>
      <c r="LP91" s="26"/>
      <c r="LQ91" s="26"/>
      <c r="LR91" s="26"/>
      <c r="LS91" s="26"/>
      <c r="LT91" s="26"/>
      <c r="LU91" s="26"/>
      <c r="LV91" s="26"/>
      <c r="LW91" s="26"/>
      <c r="LX91" s="26"/>
      <c r="LY91" s="26"/>
      <c r="LZ91" s="26"/>
      <c r="MA91" s="26"/>
      <c r="MB91" s="26"/>
      <c r="MC91" s="26"/>
      <c r="MD91" s="26"/>
      <c r="ME91" s="26"/>
      <c r="MF91" s="26"/>
      <c r="MG91" s="26"/>
      <c r="MH91" s="26"/>
      <c r="MI91" s="26"/>
      <c r="MJ91" s="26"/>
      <c r="MK91" s="26"/>
      <c r="ML91" s="26"/>
      <c r="MM91" s="26"/>
      <c r="MN91" s="26"/>
      <c r="MO91" s="26"/>
      <c r="MP91" s="26"/>
      <c r="MQ91" s="26"/>
      <c r="MR91" s="26"/>
      <c r="MS91" s="26"/>
      <c r="MT91" s="26"/>
      <c r="MU91" s="23"/>
      <c r="MV91" s="26"/>
      <c r="MW91" s="26"/>
      <c r="MX91" s="26"/>
      <c r="MY91" s="26"/>
      <c r="MZ91" s="26"/>
      <c r="NA91" s="26"/>
      <c r="NB91" s="26"/>
      <c r="NC91" s="26"/>
      <c r="ND91" s="26"/>
      <c r="NE91" s="26"/>
      <c r="NF91" s="26"/>
      <c r="NG91" s="26"/>
      <c r="NH91" s="26"/>
      <c r="NI91" s="26"/>
      <c r="NJ91" s="26"/>
      <c r="NK91" s="26"/>
      <c r="NL91" s="26"/>
      <c r="NM91" s="26"/>
      <c r="NN91" s="26"/>
      <c r="NO91" s="26"/>
      <c r="NP91" s="26"/>
      <c r="NQ91" s="26"/>
      <c r="NR91" s="26"/>
      <c r="NS91" s="26"/>
      <c r="NT91" s="26"/>
      <c r="NU91" s="26"/>
      <c r="NV91" s="26"/>
      <c r="NW91" s="26"/>
      <c r="NX91" s="26"/>
      <c r="NY91" s="26"/>
      <c r="NZ91" s="26"/>
      <c r="OA91" s="26"/>
      <c r="OB91" s="26"/>
      <c r="OC91" s="26"/>
      <c r="OD91" s="26"/>
      <c r="OE91" s="26"/>
      <c r="OF91" s="26"/>
      <c r="OG91" s="26"/>
      <c r="OH91" s="23"/>
      <c r="OI91" s="26"/>
      <c r="OJ91" s="26"/>
      <c r="OK91" s="26"/>
      <c r="OL91" s="26"/>
      <c r="OM91" s="26"/>
      <c r="ON91" s="26"/>
      <c r="OO91" s="26"/>
      <c r="OP91" s="26"/>
      <c r="OQ91" s="26"/>
      <c r="OR91" s="26"/>
      <c r="OS91" s="26"/>
      <c r="OT91" s="26"/>
      <c r="OU91" s="26"/>
      <c r="OV91" s="26"/>
      <c r="OW91" s="26"/>
      <c r="OX91" s="26"/>
      <c r="OY91" s="26"/>
      <c r="OZ91" s="26"/>
      <c r="PA91" s="26"/>
      <c r="PB91" s="26"/>
      <c r="PC91" s="26"/>
      <c r="PD91" s="26"/>
      <c r="PE91" s="26"/>
      <c r="PF91" s="26"/>
      <c r="PG91" s="26"/>
      <c r="PH91" s="26"/>
      <c r="PI91" s="26"/>
      <c r="PJ91" s="26"/>
      <c r="PK91" s="26"/>
      <c r="PL91" s="26"/>
      <c r="PM91" s="26"/>
      <c r="PN91" s="26"/>
      <c r="PO91" s="26"/>
      <c r="PP91" s="26"/>
      <c r="PQ91" s="26"/>
      <c r="PR91" s="26"/>
      <c r="PS91" s="26"/>
      <c r="PT91" s="26"/>
    </row>
    <row r="92" spans="1:436" ht="15.75" thickBot="1" x14ac:dyDescent="0.3">
      <c r="A92" s="24"/>
      <c r="B92" s="25"/>
      <c r="C92" s="25"/>
      <c r="D92" s="25"/>
      <c r="E92" s="24"/>
      <c r="F92" s="24"/>
      <c r="G92" s="24"/>
      <c r="H92" s="23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3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3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23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3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3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3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6"/>
      <c r="JT92" s="26"/>
      <c r="JU92" s="23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  <c r="KO92" s="26"/>
      <c r="KP92" s="26"/>
      <c r="KQ92" s="26"/>
      <c r="KR92" s="26"/>
      <c r="KS92" s="26"/>
      <c r="KT92" s="26"/>
      <c r="KU92" s="26"/>
      <c r="KV92" s="26"/>
      <c r="KW92" s="26"/>
      <c r="KX92" s="26"/>
      <c r="KY92" s="26"/>
      <c r="KZ92" s="26"/>
      <c r="LA92" s="26"/>
      <c r="LB92" s="26"/>
      <c r="LC92" s="26"/>
      <c r="LD92" s="26"/>
      <c r="LE92" s="26"/>
      <c r="LF92" s="26"/>
      <c r="LG92" s="26"/>
      <c r="LH92" s="23"/>
      <c r="LI92" s="26"/>
      <c r="LJ92" s="26"/>
      <c r="LK92" s="26"/>
      <c r="LL92" s="26"/>
      <c r="LM92" s="26"/>
      <c r="LN92" s="26"/>
      <c r="LO92" s="26"/>
      <c r="LP92" s="26"/>
      <c r="LQ92" s="26"/>
      <c r="LR92" s="26"/>
      <c r="LS92" s="26"/>
      <c r="LT92" s="26"/>
      <c r="LU92" s="26"/>
      <c r="LV92" s="26"/>
      <c r="LW92" s="26"/>
      <c r="LX92" s="26"/>
      <c r="LY92" s="26"/>
      <c r="LZ92" s="26"/>
      <c r="MA92" s="26"/>
      <c r="MB92" s="26"/>
      <c r="MC92" s="26"/>
      <c r="MD92" s="26"/>
      <c r="ME92" s="26"/>
      <c r="MF92" s="26"/>
      <c r="MG92" s="26"/>
      <c r="MH92" s="26"/>
      <c r="MI92" s="26"/>
      <c r="MJ92" s="26"/>
      <c r="MK92" s="26"/>
      <c r="ML92" s="26"/>
      <c r="MM92" s="26"/>
      <c r="MN92" s="26"/>
      <c r="MO92" s="26"/>
      <c r="MP92" s="26"/>
      <c r="MQ92" s="26"/>
      <c r="MR92" s="26"/>
      <c r="MS92" s="26"/>
      <c r="MT92" s="26"/>
      <c r="MU92" s="23"/>
      <c r="MV92" s="26"/>
      <c r="MW92" s="26"/>
      <c r="MX92" s="26"/>
      <c r="MY92" s="26"/>
      <c r="MZ92" s="26"/>
      <c r="NA92" s="26"/>
      <c r="NB92" s="26"/>
      <c r="NC92" s="26"/>
      <c r="ND92" s="26"/>
      <c r="NE92" s="26"/>
      <c r="NF92" s="26"/>
      <c r="NG92" s="26"/>
      <c r="NH92" s="26"/>
      <c r="NI92" s="26"/>
      <c r="NJ92" s="26"/>
      <c r="NK92" s="26"/>
      <c r="NL92" s="26"/>
      <c r="NM92" s="26"/>
      <c r="NN92" s="26"/>
      <c r="NO92" s="26"/>
      <c r="NP92" s="26"/>
      <c r="NQ92" s="26"/>
      <c r="NR92" s="26"/>
      <c r="NS92" s="26"/>
      <c r="NT92" s="26"/>
      <c r="NU92" s="26"/>
      <c r="NV92" s="26"/>
      <c r="NW92" s="26"/>
      <c r="NX92" s="26"/>
      <c r="NY92" s="26"/>
      <c r="NZ92" s="26"/>
      <c r="OA92" s="26"/>
      <c r="OB92" s="26"/>
      <c r="OC92" s="26"/>
      <c r="OD92" s="26"/>
      <c r="OE92" s="26"/>
      <c r="OF92" s="26"/>
      <c r="OG92" s="26"/>
      <c r="OH92" s="23"/>
      <c r="OI92" s="26"/>
      <c r="OJ92" s="26"/>
      <c r="OK92" s="26"/>
      <c r="OL92" s="26"/>
      <c r="OM92" s="26"/>
      <c r="ON92" s="26"/>
      <c r="OO92" s="26"/>
      <c r="OP92" s="26"/>
      <c r="OQ92" s="26"/>
      <c r="OR92" s="26"/>
      <c r="OS92" s="26"/>
      <c r="OT92" s="26"/>
      <c r="OU92" s="26"/>
      <c r="OV92" s="26"/>
      <c r="OW92" s="26"/>
      <c r="OX92" s="26"/>
      <c r="OY92" s="26"/>
      <c r="OZ92" s="26"/>
      <c r="PA92" s="26"/>
      <c r="PB92" s="26"/>
      <c r="PC92" s="26"/>
      <c r="PD92" s="26"/>
      <c r="PE92" s="26"/>
      <c r="PF92" s="26"/>
      <c r="PG92" s="26"/>
      <c r="PH92" s="26"/>
      <c r="PI92" s="26"/>
      <c r="PJ92" s="26"/>
      <c r="PK92" s="26"/>
      <c r="PL92" s="26"/>
      <c r="PM92" s="26"/>
      <c r="PN92" s="26"/>
      <c r="PO92" s="26"/>
      <c r="PP92" s="26"/>
      <c r="PQ92" s="26"/>
      <c r="PR92" s="26"/>
      <c r="PS92" s="26"/>
      <c r="PT92" s="26"/>
    </row>
    <row r="93" spans="1:436" ht="15.75" thickBot="1" x14ac:dyDescent="0.3">
      <c r="A93" s="24"/>
      <c r="B93" s="25"/>
      <c r="C93" s="25"/>
      <c r="D93" s="25"/>
      <c r="E93" s="24"/>
      <c r="F93" s="24"/>
      <c r="G93" s="24"/>
      <c r="H93" s="23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3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3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23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3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3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3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6"/>
      <c r="JT93" s="26"/>
      <c r="JU93" s="23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  <c r="KO93" s="26"/>
      <c r="KP93" s="26"/>
      <c r="KQ93" s="26"/>
      <c r="KR93" s="26"/>
      <c r="KS93" s="26"/>
      <c r="KT93" s="26"/>
      <c r="KU93" s="26"/>
      <c r="KV93" s="26"/>
      <c r="KW93" s="26"/>
      <c r="KX93" s="26"/>
      <c r="KY93" s="26"/>
      <c r="KZ93" s="26"/>
      <c r="LA93" s="26"/>
      <c r="LB93" s="26"/>
      <c r="LC93" s="26"/>
      <c r="LD93" s="26"/>
      <c r="LE93" s="26"/>
      <c r="LF93" s="26"/>
      <c r="LG93" s="26"/>
      <c r="LH93" s="23"/>
      <c r="LI93" s="26"/>
      <c r="LJ93" s="26"/>
      <c r="LK93" s="26"/>
      <c r="LL93" s="26"/>
      <c r="LM93" s="26"/>
      <c r="LN93" s="26"/>
      <c r="LO93" s="26"/>
      <c r="LP93" s="26"/>
      <c r="LQ93" s="26"/>
      <c r="LR93" s="26"/>
      <c r="LS93" s="26"/>
      <c r="LT93" s="26"/>
      <c r="LU93" s="26"/>
      <c r="LV93" s="26"/>
      <c r="LW93" s="26"/>
      <c r="LX93" s="26"/>
      <c r="LY93" s="26"/>
      <c r="LZ93" s="26"/>
      <c r="MA93" s="26"/>
      <c r="MB93" s="26"/>
      <c r="MC93" s="26"/>
      <c r="MD93" s="26"/>
      <c r="ME93" s="26"/>
      <c r="MF93" s="26"/>
      <c r="MG93" s="26"/>
      <c r="MH93" s="26"/>
      <c r="MI93" s="26"/>
      <c r="MJ93" s="26"/>
      <c r="MK93" s="26"/>
      <c r="ML93" s="26"/>
      <c r="MM93" s="26"/>
      <c r="MN93" s="26"/>
      <c r="MO93" s="26"/>
      <c r="MP93" s="26"/>
      <c r="MQ93" s="26"/>
      <c r="MR93" s="26"/>
      <c r="MS93" s="26"/>
      <c r="MT93" s="26"/>
      <c r="MU93" s="23"/>
      <c r="MV93" s="26"/>
      <c r="MW93" s="26"/>
      <c r="MX93" s="26"/>
      <c r="MY93" s="26"/>
      <c r="MZ93" s="26"/>
      <c r="NA93" s="26"/>
      <c r="NB93" s="26"/>
      <c r="NC93" s="26"/>
      <c r="ND93" s="26"/>
      <c r="NE93" s="26"/>
      <c r="NF93" s="26"/>
      <c r="NG93" s="26"/>
      <c r="NH93" s="26"/>
      <c r="NI93" s="26"/>
      <c r="NJ93" s="26"/>
      <c r="NK93" s="26"/>
      <c r="NL93" s="26"/>
      <c r="NM93" s="26"/>
      <c r="NN93" s="26"/>
      <c r="NO93" s="26"/>
      <c r="NP93" s="26"/>
      <c r="NQ93" s="26"/>
      <c r="NR93" s="26"/>
      <c r="NS93" s="26"/>
      <c r="NT93" s="26"/>
      <c r="NU93" s="26"/>
      <c r="NV93" s="26"/>
      <c r="NW93" s="26"/>
      <c r="NX93" s="26"/>
      <c r="NY93" s="26"/>
      <c r="NZ93" s="26"/>
      <c r="OA93" s="26"/>
      <c r="OB93" s="26"/>
      <c r="OC93" s="26"/>
      <c r="OD93" s="26"/>
      <c r="OE93" s="26"/>
      <c r="OF93" s="26"/>
      <c r="OG93" s="26"/>
      <c r="OH93" s="23"/>
      <c r="OI93" s="26"/>
      <c r="OJ93" s="26"/>
      <c r="OK93" s="26"/>
      <c r="OL93" s="26"/>
      <c r="OM93" s="26"/>
      <c r="ON93" s="26"/>
      <c r="OO93" s="26"/>
      <c r="OP93" s="26"/>
      <c r="OQ93" s="26"/>
      <c r="OR93" s="26"/>
      <c r="OS93" s="26"/>
      <c r="OT93" s="26"/>
      <c r="OU93" s="26"/>
      <c r="OV93" s="26"/>
      <c r="OW93" s="26"/>
      <c r="OX93" s="26"/>
      <c r="OY93" s="26"/>
      <c r="OZ93" s="26"/>
      <c r="PA93" s="26"/>
      <c r="PB93" s="26"/>
      <c r="PC93" s="26"/>
      <c r="PD93" s="26"/>
      <c r="PE93" s="26"/>
      <c r="PF93" s="26"/>
      <c r="PG93" s="26"/>
      <c r="PH93" s="26"/>
      <c r="PI93" s="26"/>
      <c r="PJ93" s="26"/>
      <c r="PK93" s="26"/>
      <c r="PL93" s="26"/>
      <c r="PM93" s="26"/>
      <c r="PN93" s="26"/>
      <c r="PO93" s="26"/>
      <c r="PP93" s="26"/>
      <c r="PQ93" s="26"/>
      <c r="PR93" s="26"/>
      <c r="PS93" s="26"/>
      <c r="PT93" s="26"/>
    </row>
    <row r="94" spans="1:436" ht="15.75" thickBot="1" x14ac:dyDescent="0.3">
      <c r="A94" s="24"/>
      <c r="B94" s="25"/>
      <c r="C94" s="25"/>
      <c r="D94" s="25"/>
      <c r="E94" s="24"/>
      <c r="F94" s="24"/>
      <c r="G94" s="24"/>
      <c r="H94" s="23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3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3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23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3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3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3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6"/>
      <c r="JT94" s="26"/>
      <c r="JU94" s="23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  <c r="KO94" s="26"/>
      <c r="KP94" s="26"/>
      <c r="KQ94" s="26"/>
      <c r="KR94" s="26"/>
      <c r="KS94" s="26"/>
      <c r="KT94" s="26"/>
      <c r="KU94" s="26"/>
      <c r="KV94" s="26"/>
      <c r="KW94" s="26"/>
      <c r="KX94" s="26"/>
      <c r="KY94" s="26"/>
      <c r="KZ94" s="26"/>
      <c r="LA94" s="26"/>
      <c r="LB94" s="26"/>
      <c r="LC94" s="26"/>
      <c r="LD94" s="26"/>
      <c r="LE94" s="26"/>
      <c r="LF94" s="26"/>
      <c r="LG94" s="26"/>
      <c r="LH94" s="23"/>
      <c r="LI94" s="26"/>
      <c r="LJ94" s="26"/>
      <c r="LK94" s="26"/>
      <c r="LL94" s="26"/>
      <c r="LM94" s="26"/>
      <c r="LN94" s="26"/>
      <c r="LO94" s="26"/>
      <c r="LP94" s="26"/>
      <c r="LQ94" s="26"/>
      <c r="LR94" s="26"/>
      <c r="LS94" s="26"/>
      <c r="LT94" s="26"/>
      <c r="LU94" s="26"/>
      <c r="LV94" s="26"/>
      <c r="LW94" s="26"/>
      <c r="LX94" s="26"/>
      <c r="LY94" s="26"/>
      <c r="LZ94" s="26"/>
      <c r="MA94" s="26"/>
      <c r="MB94" s="26"/>
      <c r="MC94" s="26"/>
      <c r="MD94" s="26"/>
      <c r="ME94" s="26"/>
      <c r="MF94" s="26"/>
      <c r="MG94" s="26"/>
      <c r="MH94" s="26"/>
      <c r="MI94" s="26"/>
      <c r="MJ94" s="26"/>
      <c r="MK94" s="26"/>
      <c r="ML94" s="26"/>
      <c r="MM94" s="26"/>
      <c r="MN94" s="26"/>
      <c r="MO94" s="26"/>
      <c r="MP94" s="26"/>
      <c r="MQ94" s="26"/>
      <c r="MR94" s="26"/>
      <c r="MS94" s="26"/>
      <c r="MT94" s="26"/>
      <c r="MU94" s="23"/>
      <c r="MV94" s="26"/>
      <c r="MW94" s="26"/>
      <c r="MX94" s="26"/>
      <c r="MY94" s="26"/>
      <c r="MZ94" s="26"/>
      <c r="NA94" s="26"/>
      <c r="NB94" s="26"/>
      <c r="NC94" s="26"/>
      <c r="ND94" s="26"/>
      <c r="NE94" s="26"/>
      <c r="NF94" s="26"/>
      <c r="NG94" s="26"/>
      <c r="NH94" s="26"/>
      <c r="NI94" s="26"/>
      <c r="NJ94" s="26"/>
      <c r="NK94" s="26"/>
      <c r="NL94" s="26"/>
      <c r="NM94" s="26"/>
      <c r="NN94" s="26"/>
      <c r="NO94" s="26"/>
      <c r="NP94" s="26"/>
      <c r="NQ94" s="26"/>
      <c r="NR94" s="26"/>
      <c r="NS94" s="26"/>
      <c r="NT94" s="26"/>
      <c r="NU94" s="26"/>
      <c r="NV94" s="26"/>
      <c r="NW94" s="26"/>
      <c r="NX94" s="26"/>
      <c r="NY94" s="26"/>
      <c r="NZ94" s="26"/>
      <c r="OA94" s="26"/>
      <c r="OB94" s="26"/>
      <c r="OC94" s="26"/>
      <c r="OD94" s="26"/>
      <c r="OE94" s="26"/>
      <c r="OF94" s="26"/>
      <c r="OG94" s="26"/>
      <c r="OH94" s="23"/>
      <c r="OI94" s="26"/>
      <c r="OJ94" s="26"/>
      <c r="OK94" s="26"/>
      <c r="OL94" s="26"/>
      <c r="OM94" s="26"/>
      <c r="ON94" s="26"/>
      <c r="OO94" s="26"/>
      <c r="OP94" s="26"/>
      <c r="OQ94" s="26"/>
      <c r="OR94" s="26"/>
      <c r="OS94" s="26"/>
      <c r="OT94" s="26"/>
      <c r="OU94" s="26"/>
      <c r="OV94" s="26"/>
      <c r="OW94" s="26"/>
      <c r="OX94" s="26"/>
      <c r="OY94" s="26"/>
      <c r="OZ94" s="26"/>
      <c r="PA94" s="26"/>
      <c r="PB94" s="26"/>
      <c r="PC94" s="26"/>
      <c r="PD94" s="26"/>
      <c r="PE94" s="26"/>
      <c r="PF94" s="26"/>
      <c r="PG94" s="26"/>
      <c r="PH94" s="26"/>
      <c r="PI94" s="26"/>
      <c r="PJ94" s="26"/>
      <c r="PK94" s="26"/>
      <c r="PL94" s="26"/>
      <c r="PM94" s="26"/>
      <c r="PN94" s="26"/>
      <c r="PO94" s="26"/>
      <c r="PP94" s="26"/>
      <c r="PQ94" s="26"/>
      <c r="PR94" s="26"/>
      <c r="PS94" s="26"/>
      <c r="PT94" s="26"/>
    </row>
    <row r="95" spans="1:436" ht="15.75" thickBot="1" x14ac:dyDescent="0.3">
      <c r="A95" s="24"/>
      <c r="B95" s="25"/>
      <c r="C95" s="25"/>
      <c r="D95" s="25"/>
      <c r="E95" s="24"/>
      <c r="F95" s="24"/>
      <c r="G95" s="24"/>
      <c r="H95" s="23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3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3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23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3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3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3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6"/>
      <c r="JT95" s="26"/>
      <c r="JU95" s="23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  <c r="KO95" s="26"/>
      <c r="KP95" s="26"/>
      <c r="KQ95" s="26"/>
      <c r="KR95" s="26"/>
      <c r="KS95" s="26"/>
      <c r="KT95" s="26"/>
      <c r="KU95" s="26"/>
      <c r="KV95" s="26"/>
      <c r="KW95" s="26"/>
      <c r="KX95" s="26"/>
      <c r="KY95" s="26"/>
      <c r="KZ95" s="26"/>
      <c r="LA95" s="26"/>
      <c r="LB95" s="26"/>
      <c r="LC95" s="26"/>
      <c r="LD95" s="26"/>
      <c r="LE95" s="26"/>
      <c r="LF95" s="26"/>
      <c r="LG95" s="26"/>
      <c r="LH95" s="23"/>
      <c r="LI95" s="26"/>
      <c r="LJ95" s="26"/>
      <c r="LK95" s="26"/>
      <c r="LL95" s="26"/>
      <c r="LM95" s="26"/>
      <c r="LN95" s="26"/>
      <c r="LO95" s="26"/>
      <c r="LP95" s="26"/>
      <c r="LQ95" s="26"/>
      <c r="LR95" s="26"/>
      <c r="LS95" s="26"/>
      <c r="LT95" s="26"/>
      <c r="LU95" s="26"/>
      <c r="LV95" s="26"/>
      <c r="LW95" s="26"/>
      <c r="LX95" s="26"/>
      <c r="LY95" s="26"/>
      <c r="LZ95" s="26"/>
      <c r="MA95" s="26"/>
      <c r="MB95" s="26"/>
      <c r="MC95" s="26"/>
      <c r="MD95" s="26"/>
      <c r="ME95" s="26"/>
      <c r="MF95" s="26"/>
      <c r="MG95" s="26"/>
      <c r="MH95" s="26"/>
      <c r="MI95" s="26"/>
      <c r="MJ95" s="26"/>
      <c r="MK95" s="26"/>
      <c r="ML95" s="26"/>
      <c r="MM95" s="26"/>
      <c r="MN95" s="26"/>
      <c r="MO95" s="26"/>
      <c r="MP95" s="26"/>
      <c r="MQ95" s="26"/>
      <c r="MR95" s="26"/>
      <c r="MS95" s="26"/>
      <c r="MT95" s="26"/>
      <c r="MU95" s="23"/>
      <c r="MV95" s="26"/>
      <c r="MW95" s="26"/>
      <c r="MX95" s="26"/>
      <c r="MY95" s="26"/>
      <c r="MZ95" s="26"/>
      <c r="NA95" s="26"/>
      <c r="NB95" s="26"/>
      <c r="NC95" s="26"/>
      <c r="ND95" s="26"/>
      <c r="NE95" s="26"/>
      <c r="NF95" s="26"/>
      <c r="NG95" s="26"/>
      <c r="NH95" s="26"/>
      <c r="NI95" s="26"/>
      <c r="NJ95" s="26"/>
      <c r="NK95" s="26"/>
      <c r="NL95" s="26"/>
      <c r="NM95" s="26"/>
      <c r="NN95" s="26"/>
      <c r="NO95" s="26"/>
      <c r="NP95" s="26"/>
      <c r="NQ95" s="26"/>
      <c r="NR95" s="26"/>
      <c r="NS95" s="26"/>
      <c r="NT95" s="26"/>
      <c r="NU95" s="26"/>
      <c r="NV95" s="26"/>
      <c r="NW95" s="26"/>
      <c r="NX95" s="26"/>
      <c r="NY95" s="26"/>
      <c r="NZ95" s="26"/>
      <c r="OA95" s="26"/>
      <c r="OB95" s="26"/>
      <c r="OC95" s="26"/>
      <c r="OD95" s="26"/>
      <c r="OE95" s="26"/>
      <c r="OF95" s="26"/>
      <c r="OG95" s="26"/>
      <c r="OH95" s="23"/>
      <c r="OI95" s="26"/>
      <c r="OJ95" s="26"/>
      <c r="OK95" s="26"/>
      <c r="OL95" s="26"/>
      <c r="OM95" s="26"/>
      <c r="ON95" s="26"/>
      <c r="OO95" s="26"/>
      <c r="OP95" s="26"/>
      <c r="OQ95" s="26"/>
      <c r="OR95" s="26"/>
      <c r="OS95" s="26"/>
      <c r="OT95" s="26"/>
      <c r="OU95" s="26"/>
      <c r="OV95" s="26"/>
      <c r="OW95" s="26"/>
      <c r="OX95" s="26"/>
      <c r="OY95" s="26"/>
      <c r="OZ95" s="26"/>
      <c r="PA95" s="26"/>
      <c r="PB95" s="26"/>
      <c r="PC95" s="26"/>
      <c r="PD95" s="26"/>
      <c r="PE95" s="26"/>
      <c r="PF95" s="26"/>
      <c r="PG95" s="26"/>
      <c r="PH95" s="26"/>
      <c r="PI95" s="26"/>
      <c r="PJ95" s="26"/>
      <c r="PK95" s="26"/>
      <c r="PL95" s="26"/>
      <c r="PM95" s="26"/>
      <c r="PN95" s="26"/>
      <c r="PO95" s="26"/>
      <c r="PP95" s="26"/>
      <c r="PQ95" s="26"/>
      <c r="PR95" s="26"/>
      <c r="PS95" s="26"/>
      <c r="PT95" s="26"/>
    </row>
    <row r="96" spans="1:436" ht="15.75" thickBot="1" x14ac:dyDescent="0.3">
      <c r="A96" s="24"/>
      <c r="B96" s="25"/>
      <c r="C96" s="25"/>
      <c r="D96" s="25"/>
      <c r="E96" s="24"/>
      <c r="F96" s="24"/>
      <c r="G96" s="24"/>
      <c r="H96" s="23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3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3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82"/>
      <c r="DT96" s="82"/>
      <c r="DU96" s="23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3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3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3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6"/>
      <c r="JT96" s="26"/>
      <c r="JU96" s="23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  <c r="KO96" s="26"/>
      <c r="KP96" s="26"/>
      <c r="KQ96" s="26"/>
      <c r="KR96" s="26"/>
      <c r="KS96" s="26"/>
      <c r="KT96" s="26"/>
      <c r="KU96" s="26"/>
      <c r="KV96" s="26"/>
      <c r="KW96" s="26"/>
      <c r="KX96" s="26"/>
      <c r="KY96" s="26"/>
      <c r="KZ96" s="26"/>
      <c r="LA96" s="26"/>
      <c r="LB96" s="26"/>
      <c r="LC96" s="26"/>
      <c r="LD96" s="26"/>
      <c r="LE96" s="26"/>
      <c r="LF96" s="26"/>
      <c r="LG96" s="26"/>
      <c r="LH96" s="23"/>
      <c r="LI96" s="26"/>
      <c r="LJ96" s="26"/>
      <c r="LK96" s="26"/>
      <c r="LL96" s="26"/>
      <c r="LM96" s="26"/>
      <c r="LN96" s="26"/>
      <c r="LO96" s="26"/>
      <c r="LP96" s="26"/>
      <c r="LQ96" s="26"/>
      <c r="LR96" s="26"/>
      <c r="LS96" s="26"/>
      <c r="LT96" s="26"/>
      <c r="LU96" s="26"/>
      <c r="LV96" s="26"/>
      <c r="LW96" s="26"/>
      <c r="LX96" s="26"/>
      <c r="LY96" s="26"/>
      <c r="LZ96" s="26"/>
      <c r="MA96" s="26"/>
      <c r="MB96" s="26"/>
      <c r="MC96" s="26"/>
      <c r="MD96" s="26"/>
      <c r="ME96" s="26"/>
      <c r="MF96" s="26"/>
      <c r="MG96" s="26"/>
      <c r="MH96" s="26"/>
      <c r="MI96" s="26"/>
      <c r="MJ96" s="26"/>
      <c r="MK96" s="26"/>
      <c r="ML96" s="26"/>
      <c r="MM96" s="26"/>
      <c r="MN96" s="26"/>
      <c r="MO96" s="26"/>
      <c r="MP96" s="26"/>
      <c r="MQ96" s="26"/>
      <c r="MR96" s="26"/>
      <c r="MS96" s="26"/>
      <c r="MT96" s="26"/>
      <c r="MU96" s="23"/>
      <c r="MV96" s="26"/>
      <c r="MW96" s="26"/>
      <c r="MX96" s="26"/>
      <c r="MY96" s="26"/>
      <c r="MZ96" s="26"/>
      <c r="NA96" s="26"/>
      <c r="NB96" s="26"/>
      <c r="NC96" s="26"/>
      <c r="ND96" s="26"/>
      <c r="NE96" s="26"/>
      <c r="NF96" s="26"/>
      <c r="NG96" s="26"/>
      <c r="NH96" s="26"/>
      <c r="NI96" s="26"/>
      <c r="NJ96" s="26"/>
      <c r="NK96" s="26"/>
      <c r="NL96" s="26"/>
      <c r="NM96" s="26"/>
      <c r="NN96" s="26"/>
      <c r="NO96" s="26"/>
      <c r="NP96" s="26"/>
      <c r="NQ96" s="26"/>
      <c r="NR96" s="26"/>
      <c r="NS96" s="26"/>
      <c r="NT96" s="26"/>
      <c r="NU96" s="26"/>
      <c r="NV96" s="26"/>
      <c r="NW96" s="26"/>
      <c r="NX96" s="26"/>
      <c r="NY96" s="26"/>
      <c r="NZ96" s="26"/>
      <c r="OA96" s="26"/>
      <c r="OB96" s="26"/>
      <c r="OC96" s="26"/>
      <c r="OD96" s="26"/>
      <c r="OE96" s="26"/>
      <c r="OF96" s="26"/>
      <c r="OG96" s="26"/>
      <c r="OH96" s="23"/>
      <c r="OI96" s="26"/>
      <c r="OJ96" s="26"/>
      <c r="OK96" s="26"/>
      <c r="OL96" s="26"/>
      <c r="OM96" s="26"/>
      <c r="ON96" s="26"/>
      <c r="OO96" s="26"/>
      <c r="OP96" s="26"/>
      <c r="OQ96" s="26"/>
      <c r="OR96" s="26"/>
      <c r="OS96" s="26"/>
      <c r="OT96" s="26"/>
      <c r="OU96" s="26"/>
      <c r="OV96" s="26"/>
      <c r="OW96" s="26"/>
      <c r="OX96" s="26"/>
      <c r="OY96" s="26"/>
      <c r="OZ96" s="26"/>
      <c r="PA96" s="26"/>
      <c r="PB96" s="26"/>
      <c r="PC96" s="26"/>
      <c r="PD96" s="26"/>
      <c r="PE96" s="26"/>
      <c r="PF96" s="26"/>
      <c r="PG96" s="26"/>
      <c r="PH96" s="26"/>
      <c r="PI96" s="26"/>
      <c r="PJ96" s="26"/>
      <c r="PK96" s="26"/>
      <c r="PL96" s="26"/>
      <c r="PM96" s="26"/>
      <c r="PN96" s="26"/>
      <c r="PO96" s="26"/>
      <c r="PP96" s="26"/>
      <c r="PQ96" s="26"/>
      <c r="PR96" s="26"/>
      <c r="PS96" s="26"/>
      <c r="PT96" s="26"/>
    </row>
    <row r="97" spans="1:436" ht="15.75" thickBot="1" x14ac:dyDescent="0.3">
      <c r="A97" s="24"/>
      <c r="B97" s="25"/>
      <c r="C97" s="25"/>
      <c r="D97" s="25"/>
      <c r="E97" s="24"/>
      <c r="F97" s="24"/>
      <c r="G97" s="24"/>
      <c r="H97" s="23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3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3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82"/>
      <c r="DT97" s="82"/>
      <c r="DU97" s="23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3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3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3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3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  <c r="KO97" s="26"/>
      <c r="KP97" s="26"/>
      <c r="KQ97" s="26"/>
      <c r="KR97" s="26"/>
      <c r="KS97" s="26"/>
      <c r="KT97" s="26"/>
      <c r="KU97" s="26"/>
      <c r="KV97" s="26"/>
      <c r="KW97" s="26"/>
      <c r="KX97" s="26"/>
      <c r="KY97" s="26"/>
      <c r="KZ97" s="26"/>
      <c r="LA97" s="26"/>
      <c r="LB97" s="26"/>
      <c r="LC97" s="26"/>
      <c r="LD97" s="26"/>
      <c r="LE97" s="26"/>
      <c r="LF97" s="26"/>
      <c r="LG97" s="26"/>
      <c r="LH97" s="23"/>
      <c r="LI97" s="26"/>
      <c r="LJ97" s="26"/>
      <c r="LK97" s="26"/>
      <c r="LL97" s="26"/>
      <c r="LM97" s="26"/>
      <c r="LN97" s="26"/>
      <c r="LO97" s="26"/>
      <c r="LP97" s="26"/>
      <c r="LQ97" s="26"/>
      <c r="LR97" s="26"/>
      <c r="LS97" s="26"/>
      <c r="LT97" s="26"/>
      <c r="LU97" s="26"/>
      <c r="LV97" s="26"/>
      <c r="LW97" s="26"/>
      <c r="LX97" s="26"/>
      <c r="LY97" s="26"/>
      <c r="LZ97" s="26"/>
      <c r="MA97" s="26"/>
      <c r="MB97" s="26"/>
      <c r="MC97" s="26"/>
      <c r="MD97" s="26"/>
      <c r="ME97" s="26"/>
      <c r="MF97" s="26"/>
      <c r="MG97" s="26"/>
      <c r="MH97" s="26"/>
      <c r="MI97" s="26"/>
      <c r="MJ97" s="26"/>
      <c r="MK97" s="26"/>
      <c r="ML97" s="26"/>
      <c r="MM97" s="26"/>
      <c r="MN97" s="26"/>
      <c r="MO97" s="26"/>
      <c r="MP97" s="26"/>
      <c r="MQ97" s="26"/>
      <c r="MR97" s="26"/>
      <c r="MS97" s="26"/>
      <c r="MT97" s="26"/>
      <c r="MU97" s="23"/>
      <c r="MV97" s="26"/>
      <c r="MW97" s="26"/>
      <c r="MX97" s="26"/>
      <c r="MY97" s="26"/>
      <c r="MZ97" s="26"/>
      <c r="NA97" s="26"/>
      <c r="NB97" s="26"/>
      <c r="NC97" s="26"/>
      <c r="ND97" s="26"/>
      <c r="NE97" s="26"/>
      <c r="NF97" s="26"/>
      <c r="NG97" s="26"/>
      <c r="NH97" s="26"/>
      <c r="NI97" s="26"/>
      <c r="NJ97" s="26"/>
      <c r="NK97" s="26"/>
      <c r="NL97" s="26"/>
      <c r="NM97" s="26"/>
      <c r="NN97" s="26"/>
      <c r="NO97" s="26"/>
      <c r="NP97" s="26"/>
      <c r="NQ97" s="26"/>
      <c r="NR97" s="26"/>
      <c r="NS97" s="26"/>
      <c r="NT97" s="26"/>
      <c r="NU97" s="26"/>
      <c r="NV97" s="26"/>
      <c r="NW97" s="26"/>
      <c r="NX97" s="26"/>
      <c r="NY97" s="26"/>
      <c r="NZ97" s="26"/>
      <c r="OA97" s="26"/>
      <c r="OB97" s="26"/>
      <c r="OC97" s="26"/>
      <c r="OD97" s="26"/>
      <c r="OE97" s="26"/>
      <c r="OF97" s="26"/>
      <c r="OG97" s="26"/>
      <c r="OH97" s="23"/>
      <c r="OI97" s="26"/>
      <c r="OJ97" s="26"/>
      <c r="OK97" s="26"/>
      <c r="OL97" s="26"/>
      <c r="OM97" s="26"/>
      <c r="ON97" s="26"/>
      <c r="OO97" s="26"/>
      <c r="OP97" s="26"/>
      <c r="OQ97" s="26"/>
      <c r="OR97" s="26"/>
      <c r="OS97" s="26"/>
      <c r="OT97" s="26"/>
      <c r="OU97" s="26"/>
      <c r="OV97" s="26"/>
      <c r="OW97" s="26"/>
      <c r="OX97" s="26"/>
      <c r="OY97" s="26"/>
      <c r="OZ97" s="26"/>
      <c r="PA97" s="26"/>
      <c r="PB97" s="26"/>
      <c r="PC97" s="26"/>
      <c r="PD97" s="26"/>
      <c r="PE97" s="26"/>
      <c r="PF97" s="26"/>
      <c r="PG97" s="26"/>
      <c r="PH97" s="26"/>
      <c r="PI97" s="26"/>
      <c r="PJ97" s="26"/>
      <c r="PK97" s="26"/>
      <c r="PL97" s="26"/>
      <c r="PM97" s="26"/>
      <c r="PN97" s="26"/>
      <c r="PO97" s="26"/>
      <c r="PP97" s="26"/>
      <c r="PQ97" s="26"/>
      <c r="PR97" s="26"/>
      <c r="PS97" s="26"/>
      <c r="PT97" s="26"/>
    </row>
    <row r="98" spans="1:436" ht="15.75" thickBot="1" x14ac:dyDescent="0.3">
      <c r="A98" s="24"/>
      <c r="B98" s="25"/>
      <c r="C98" s="25"/>
      <c r="D98" s="25"/>
      <c r="E98" s="24"/>
      <c r="F98" s="24"/>
      <c r="G98" s="24"/>
      <c r="H98" s="23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3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3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82"/>
      <c r="DT98" s="82"/>
      <c r="DU98" s="23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3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3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3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6"/>
      <c r="JT98" s="26"/>
      <c r="JU98" s="23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6"/>
      <c r="KR98" s="26"/>
      <c r="KS98" s="26"/>
      <c r="KT98" s="26"/>
      <c r="KU98" s="26"/>
      <c r="KV98" s="26"/>
      <c r="KW98" s="26"/>
      <c r="KX98" s="26"/>
      <c r="KY98" s="26"/>
      <c r="KZ98" s="26"/>
      <c r="LA98" s="26"/>
      <c r="LB98" s="26"/>
      <c r="LC98" s="26"/>
      <c r="LD98" s="26"/>
      <c r="LE98" s="26"/>
      <c r="LF98" s="26"/>
      <c r="LG98" s="26"/>
      <c r="LH98" s="23"/>
      <c r="LI98" s="26"/>
      <c r="LJ98" s="26"/>
      <c r="LK98" s="26"/>
      <c r="LL98" s="26"/>
      <c r="LM98" s="26"/>
      <c r="LN98" s="26"/>
      <c r="LO98" s="26"/>
      <c r="LP98" s="26"/>
      <c r="LQ98" s="26"/>
      <c r="LR98" s="26"/>
      <c r="LS98" s="26"/>
      <c r="LT98" s="26"/>
      <c r="LU98" s="26"/>
      <c r="LV98" s="26"/>
      <c r="LW98" s="26"/>
      <c r="LX98" s="26"/>
      <c r="LY98" s="26"/>
      <c r="LZ98" s="26"/>
      <c r="MA98" s="26"/>
      <c r="MB98" s="26"/>
      <c r="MC98" s="26"/>
      <c r="MD98" s="26"/>
      <c r="ME98" s="26"/>
      <c r="MF98" s="26"/>
      <c r="MG98" s="26"/>
      <c r="MH98" s="26"/>
      <c r="MI98" s="26"/>
      <c r="MJ98" s="26"/>
      <c r="MK98" s="26"/>
      <c r="ML98" s="26"/>
      <c r="MM98" s="26"/>
      <c r="MN98" s="26"/>
      <c r="MO98" s="26"/>
      <c r="MP98" s="26"/>
      <c r="MQ98" s="26"/>
      <c r="MR98" s="26"/>
      <c r="MS98" s="26"/>
      <c r="MT98" s="26"/>
      <c r="MU98" s="23"/>
      <c r="MV98" s="26"/>
      <c r="MW98" s="26"/>
      <c r="MX98" s="26"/>
      <c r="MY98" s="26"/>
      <c r="MZ98" s="26"/>
      <c r="NA98" s="26"/>
      <c r="NB98" s="26"/>
      <c r="NC98" s="26"/>
      <c r="ND98" s="26"/>
      <c r="NE98" s="26"/>
      <c r="NF98" s="26"/>
      <c r="NG98" s="26"/>
      <c r="NH98" s="26"/>
      <c r="NI98" s="26"/>
      <c r="NJ98" s="26"/>
      <c r="NK98" s="26"/>
      <c r="NL98" s="26"/>
      <c r="NM98" s="26"/>
      <c r="NN98" s="26"/>
      <c r="NO98" s="26"/>
      <c r="NP98" s="26"/>
      <c r="NQ98" s="26"/>
      <c r="NR98" s="26"/>
      <c r="NS98" s="26"/>
      <c r="NT98" s="26"/>
      <c r="NU98" s="26"/>
      <c r="NV98" s="26"/>
      <c r="NW98" s="26"/>
      <c r="NX98" s="26"/>
      <c r="NY98" s="26"/>
      <c r="NZ98" s="26"/>
      <c r="OA98" s="26"/>
      <c r="OB98" s="26"/>
      <c r="OC98" s="26"/>
      <c r="OD98" s="26"/>
      <c r="OE98" s="26"/>
      <c r="OF98" s="26"/>
      <c r="OG98" s="26"/>
      <c r="OH98" s="23"/>
      <c r="OI98" s="26"/>
      <c r="OJ98" s="26"/>
      <c r="OK98" s="26"/>
      <c r="OL98" s="26"/>
      <c r="OM98" s="26"/>
      <c r="ON98" s="26"/>
      <c r="OO98" s="26"/>
      <c r="OP98" s="26"/>
      <c r="OQ98" s="26"/>
      <c r="OR98" s="26"/>
      <c r="OS98" s="26"/>
      <c r="OT98" s="26"/>
      <c r="OU98" s="26"/>
      <c r="OV98" s="26"/>
      <c r="OW98" s="26"/>
      <c r="OX98" s="26"/>
      <c r="OY98" s="26"/>
      <c r="OZ98" s="26"/>
      <c r="PA98" s="26"/>
      <c r="PB98" s="26"/>
      <c r="PC98" s="26"/>
      <c r="PD98" s="26"/>
      <c r="PE98" s="26"/>
      <c r="PF98" s="26"/>
      <c r="PG98" s="26"/>
      <c r="PH98" s="26"/>
      <c r="PI98" s="26"/>
      <c r="PJ98" s="26"/>
      <c r="PK98" s="26"/>
      <c r="PL98" s="26"/>
      <c r="PM98" s="26"/>
      <c r="PN98" s="26"/>
      <c r="PO98" s="26"/>
      <c r="PP98" s="26"/>
      <c r="PQ98" s="26"/>
      <c r="PR98" s="26"/>
      <c r="PS98" s="26"/>
      <c r="PT98" s="26"/>
    </row>
    <row r="99" spans="1:436" ht="15.75" thickBot="1" x14ac:dyDescent="0.3">
      <c r="A99" s="24"/>
      <c r="B99" s="25"/>
      <c r="C99" s="25"/>
      <c r="D99" s="25"/>
      <c r="E99" s="24"/>
      <c r="F99" s="24"/>
      <c r="G99" s="24"/>
      <c r="H99" s="23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3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3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82"/>
      <c r="DT99" s="82"/>
      <c r="DU99" s="23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3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3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3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6"/>
      <c r="JT99" s="26"/>
      <c r="JU99" s="23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6"/>
      <c r="KR99" s="26"/>
      <c r="KS99" s="26"/>
      <c r="KT99" s="26"/>
      <c r="KU99" s="26"/>
      <c r="KV99" s="26"/>
      <c r="KW99" s="26"/>
      <c r="KX99" s="26"/>
      <c r="KY99" s="26"/>
      <c r="KZ99" s="26"/>
      <c r="LA99" s="26"/>
      <c r="LB99" s="26"/>
      <c r="LC99" s="26"/>
      <c r="LD99" s="26"/>
      <c r="LE99" s="26"/>
      <c r="LF99" s="26"/>
      <c r="LG99" s="26"/>
      <c r="LH99" s="23"/>
      <c r="LI99" s="26"/>
      <c r="LJ99" s="26"/>
      <c r="LK99" s="26"/>
      <c r="LL99" s="26"/>
      <c r="LM99" s="26"/>
      <c r="LN99" s="26"/>
      <c r="LO99" s="26"/>
      <c r="LP99" s="26"/>
      <c r="LQ99" s="26"/>
      <c r="LR99" s="26"/>
      <c r="LS99" s="26"/>
      <c r="LT99" s="26"/>
      <c r="LU99" s="26"/>
      <c r="LV99" s="26"/>
      <c r="LW99" s="26"/>
      <c r="LX99" s="26"/>
      <c r="LY99" s="26"/>
      <c r="LZ99" s="26"/>
      <c r="MA99" s="26"/>
      <c r="MB99" s="26"/>
      <c r="MC99" s="26"/>
      <c r="MD99" s="26"/>
      <c r="ME99" s="26"/>
      <c r="MF99" s="26"/>
      <c r="MG99" s="26"/>
      <c r="MH99" s="26"/>
      <c r="MI99" s="26"/>
      <c r="MJ99" s="26"/>
      <c r="MK99" s="26"/>
      <c r="ML99" s="26"/>
      <c r="MM99" s="26"/>
      <c r="MN99" s="26"/>
      <c r="MO99" s="26"/>
      <c r="MP99" s="26"/>
      <c r="MQ99" s="26"/>
      <c r="MR99" s="26"/>
      <c r="MS99" s="26"/>
      <c r="MT99" s="26"/>
      <c r="MU99" s="23"/>
      <c r="MV99" s="26"/>
      <c r="MW99" s="26"/>
      <c r="MX99" s="26"/>
      <c r="MY99" s="26"/>
      <c r="MZ99" s="26"/>
      <c r="NA99" s="26"/>
      <c r="NB99" s="26"/>
      <c r="NC99" s="26"/>
      <c r="ND99" s="26"/>
      <c r="NE99" s="26"/>
      <c r="NF99" s="26"/>
      <c r="NG99" s="26"/>
      <c r="NH99" s="26"/>
      <c r="NI99" s="26"/>
      <c r="NJ99" s="26"/>
      <c r="NK99" s="26"/>
      <c r="NL99" s="26"/>
      <c r="NM99" s="26"/>
      <c r="NN99" s="26"/>
      <c r="NO99" s="26"/>
      <c r="NP99" s="26"/>
      <c r="NQ99" s="26"/>
      <c r="NR99" s="26"/>
      <c r="NS99" s="26"/>
      <c r="NT99" s="26"/>
      <c r="NU99" s="26"/>
      <c r="NV99" s="26"/>
      <c r="NW99" s="26"/>
      <c r="NX99" s="26"/>
      <c r="NY99" s="26"/>
      <c r="NZ99" s="26"/>
      <c r="OA99" s="26"/>
      <c r="OB99" s="26"/>
      <c r="OC99" s="26"/>
      <c r="OD99" s="26"/>
      <c r="OE99" s="26"/>
      <c r="OF99" s="26"/>
      <c r="OG99" s="26"/>
      <c r="OH99" s="23"/>
      <c r="OI99" s="26"/>
      <c r="OJ99" s="26"/>
      <c r="OK99" s="26"/>
      <c r="OL99" s="26"/>
      <c r="OM99" s="26"/>
      <c r="ON99" s="26"/>
      <c r="OO99" s="26"/>
      <c r="OP99" s="26"/>
      <c r="OQ99" s="26"/>
      <c r="OR99" s="26"/>
      <c r="OS99" s="26"/>
      <c r="OT99" s="26"/>
      <c r="OU99" s="26"/>
      <c r="OV99" s="26"/>
      <c r="OW99" s="26"/>
      <c r="OX99" s="26"/>
      <c r="OY99" s="26"/>
      <c r="OZ99" s="26"/>
      <c r="PA99" s="26"/>
      <c r="PB99" s="26"/>
      <c r="PC99" s="26"/>
      <c r="PD99" s="26"/>
      <c r="PE99" s="26"/>
      <c r="PF99" s="26"/>
      <c r="PG99" s="26"/>
      <c r="PH99" s="26"/>
      <c r="PI99" s="26"/>
      <c r="PJ99" s="26"/>
      <c r="PK99" s="26"/>
      <c r="PL99" s="26"/>
      <c r="PM99" s="26"/>
      <c r="PN99" s="26"/>
      <c r="PO99" s="26"/>
      <c r="PP99" s="26"/>
      <c r="PQ99" s="26"/>
      <c r="PR99" s="26"/>
      <c r="PS99" s="26"/>
      <c r="PT99" s="26"/>
    </row>
    <row r="100" spans="1:436" ht="21.95" customHeight="1" thickBot="1" x14ac:dyDescent="0.3">
      <c r="A100" s="87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  <c r="FU100" s="88"/>
      <c r="FV100" s="88"/>
      <c r="FW100" s="88"/>
      <c r="FX100" s="88"/>
      <c r="FY100" s="88"/>
      <c r="FZ100" s="88"/>
      <c r="GA100" s="88"/>
      <c r="GB100" s="88"/>
      <c r="GC100" s="88"/>
      <c r="GD100" s="88"/>
      <c r="GE100" s="88"/>
      <c r="GF100" s="88"/>
      <c r="GG100" s="88"/>
      <c r="GH100" s="88"/>
      <c r="GI100" s="88"/>
      <c r="GJ100" s="88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88"/>
      <c r="GV100" s="88"/>
      <c r="GW100" s="88"/>
      <c r="GX100" s="88"/>
      <c r="GY100" s="88"/>
      <c r="GZ100" s="88"/>
      <c r="HA100" s="88"/>
      <c r="HB100" s="88"/>
      <c r="HC100" s="88"/>
      <c r="HD100" s="88"/>
      <c r="HE100" s="88"/>
      <c r="HF100" s="88"/>
      <c r="HG100" s="88"/>
      <c r="HH100" s="88"/>
      <c r="HI100" s="88"/>
      <c r="HJ100" s="88"/>
      <c r="HK100" s="88"/>
      <c r="HL100" s="88"/>
      <c r="HM100" s="88"/>
      <c r="HN100" s="88"/>
      <c r="HO100" s="88"/>
      <c r="HP100" s="88"/>
      <c r="HQ100" s="88"/>
      <c r="HR100" s="88"/>
      <c r="HS100" s="88"/>
      <c r="HT100" s="88"/>
      <c r="HU100" s="88"/>
      <c r="HV100" s="88"/>
      <c r="HW100" s="88"/>
      <c r="HX100" s="88"/>
      <c r="HY100" s="88"/>
      <c r="HZ100" s="88"/>
      <c r="IA100" s="88"/>
      <c r="IB100" s="88"/>
      <c r="IC100" s="88"/>
      <c r="ID100" s="88"/>
      <c r="IE100" s="88"/>
      <c r="IF100" s="88"/>
      <c r="IG100" s="88"/>
      <c r="IH100" s="88"/>
      <c r="II100" s="88"/>
      <c r="IJ100" s="88"/>
      <c r="IK100" s="88"/>
      <c r="IL100" s="88"/>
      <c r="IM100" s="88"/>
      <c r="IN100" s="88"/>
      <c r="IO100" s="88"/>
      <c r="IP100" s="88"/>
      <c r="IQ100" s="88"/>
      <c r="IR100" s="88"/>
      <c r="IS100" s="88"/>
      <c r="IT100" s="88"/>
      <c r="IU100" s="88"/>
      <c r="IV100" s="88"/>
      <c r="IW100" s="88"/>
      <c r="IX100" s="88"/>
      <c r="IY100" s="88"/>
      <c r="IZ100" s="88"/>
      <c r="JA100" s="88"/>
      <c r="JB100" s="88"/>
      <c r="JC100" s="88"/>
      <c r="JD100" s="88"/>
      <c r="JE100" s="88"/>
      <c r="JF100" s="88"/>
      <c r="JG100" s="88"/>
      <c r="JH100" s="88"/>
      <c r="JI100" s="88"/>
      <c r="JJ100" s="88"/>
      <c r="JK100" s="88"/>
      <c r="JL100" s="88"/>
      <c r="JM100" s="88"/>
      <c r="JN100" s="88"/>
      <c r="JO100" s="88"/>
      <c r="JP100" s="88"/>
      <c r="JQ100" s="88"/>
      <c r="JR100" s="88"/>
      <c r="JS100" s="88"/>
      <c r="JT100" s="88"/>
      <c r="JU100" s="88"/>
      <c r="JV100" s="88"/>
      <c r="JW100" s="88"/>
      <c r="JX100" s="88"/>
      <c r="JY100" s="88"/>
      <c r="JZ100" s="88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88"/>
      <c r="KM100" s="88"/>
      <c r="KN100" s="88"/>
      <c r="KO100" s="88"/>
      <c r="KP100" s="88"/>
      <c r="KQ100" s="88"/>
      <c r="KR100" s="88"/>
      <c r="KS100" s="88"/>
      <c r="KT100" s="88"/>
      <c r="KU100" s="88"/>
      <c r="KV100" s="88"/>
      <c r="KW100" s="88"/>
      <c r="KX100" s="88"/>
      <c r="KY100" s="88"/>
      <c r="KZ100" s="88"/>
      <c r="LA100" s="88"/>
      <c r="LB100" s="88"/>
      <c r="LC100" s="88"/>
      <c r="LD100" s="88"/>
      <c r="LE100" s="88"/>
      <c r="LF100" s="88"/>
      <c r="LG100" s="88"/>
      <c r="LH100" s="88"/>
      <c r="LI100" s="88"/>
      <c r="LJ100" s="88"/>
      <c r="LK100" s="88"/>
      <c r="LL100" s="88"/>
      <c r="LM100" s="88"/>
      <c r="LN100" s="88"/>
      <c r="LO100" s="88"/>
      <c r="LP100" s="88"/>
      <c r="LQ100" s="88"/>
      <c r="LR100" s="88"/>
      <c r="LS100" s="88"/>
      <c r="LT100" s="88"/>
      <c r="LU100" s="88"/>
      <c r="LV100" s="88"/>
      <c r="LW100" s="88"/>
      <c r="LX100" s="88"/>
      <c r="LY100" s="88"/>
      <c r="LZ100" s="88"/>
      <c r="MA100" s="88"/>
      <c r="MB100" s="88"/>
      <c r="MC100" s="88"/>
      <c r="MD100" s="88"/>
      <c r="ME100" s="88"/>
      <c r="MF100" s="88"/>
      <c r="MG100" s="88"/>
      <c r="MH100" s="88"/>
      <c r="MI100" s="88"/>
      <c r="MJ100" s="88"/>
      <c r="MK100" s="88"/>
      <c r="ML100" s="88"/>
      <c r="MM100" s="88"/>
      <c r="MN100" s="88"/>
      <c r="MO100" s="88"/>
      <c r="MP100" s="88"/>
      <c r="MQ100" s="88"/>
      <c r="MR100" s="88"/>
      <c r="MS100" s="88"/>
      <c r="MT100" s="88"/>
      <c r="MU100" s="88"/>
      <c r="MV100" s="88"/>
      <c r="MW100" s="88"/>
      <c r="MX100" s="88"/>
      <c r="MY100" s="88"/>
      <c r="MZ100" s="88"/>
      <c r="NA100" s="88"/>
      <c r="NB100" s="88"/>
      <c r="NC100" s="88"/>
      <c r="ND100" s="88"/>
      <c r="NE100" s="88"/>
      <c r="NF100" s="88"/>
      <c r="NG100" s="88"/>
      <c r="NH100" s="88"/>
      <c r="NI100" s="88"/>
      <c r="NJ100" s="88"/>
      <c r="NK100" s="88"/>
      <c r="NL100" s="88"/>
      <c r="NM100" s="88"/>
      <c r="NN100" s="88"/>
      <c r="NO100" s="88"/>
      <c r="NP100" s="88"/>
      <c r="NQ100" s="88"/>
      <c r="NR100" s="88"/>
      <c r="NS100" s="88"/>
      <c r="NT100" s="88"/>
      <c r="NU100" s="88"/>
      <c r="NV100" s="88"/>
      <c r="NW100" s="88"/>
      <c r="NX100" s="88"/>
      <c r="NY100" s="88"/>
      <c r="NZ100" s="88"/>
      <c r="OA100" s="88"/>
      <c r="OB100" s="88"/>
      <c r="OC100" s="88"/>
      <c r="OD100" s="88"/>
      <c r="OE100" s="88"/>
      <c r="OF100" s="88"/>
      <c r="OG100" s="88"/>
      <c r="OH100" s="88"/>
      <c r="OI100" s="88"/>
      <c r="OJ100" s="88"/>
      <c r="OK100" s="88"/>
      <c r="OL100" s="88"/>
      <c r="OM100" s="88"/>
      <c r="ON100" s="88"/>
      <c r="OO100" s="88"/>
      <c r="OP100" s="88"/>
      <c r="OQ100" s="88"/>
      <c r="OR100" s="88"/>
      <c r="OS100" s="88"/>
      <c r="OT100" s="88"/>
      <c r="OU100" s="88"/>
      <c r="OV100" s="88"/>
      <c r="OW100" s="88"/>
      <c r="OX100" s="88"/>
      <c r="OY100" s="88"/>
      <c r="OZ100" s="88"/>
      <c r="PA100" s="88"/>
      <c r="PB100" s="88"/>
      <c r="PC100" s="88"/>
      <c r="PD100" s="88"/>
      <c r="PE100" s="88"/>
      <c r="PF100" s="88"/>
      <c r="PG100" s="88"/>
      <c r="PH100" s="88"/>
      <c r="PI100" s="88"/>
      <c r="PJ100" s="88"/>
      <c r="PK100" s="88"/>
      <c r="PL100" s="88"/>
      <c r="PM100" s="88"/>
      <c r="PN100" s="88"/>
      <c r="PO100" s="88"/>
      <c r="PP100" s="88"/>
      <c r="PQ100" s="88"/>
      <c r="PR100" s="88"/>
      <c r="PS100" s="88"/>
      <c r="PT100" s="89"/>
    </row>
    <row r="101" spans="1:436" ht="15.75" thickBot="1" x14ac:dyDescent="0.3">
      <c r="A101" s="24"/>
      <c r="B101" s="25"/>
      <c r="C101" s="25"/>
      <c r="D101" s="25"/>
      <c r="E101" s="24"/>
      <c r="F101" s="24"/>
      <c r="G101" s="24"/>
      <c r="H101" s="23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3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83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82"/>
      <c r="DT101" s="82"/>
      <c r="DU101" s="23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3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3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3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6"/>
      <c r="JT101" s="26"/>
      <c r="JU101" s="23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6"/>
      <c r="KR101" s="26"/>
      <c r="KS101" s="26"/>
      <c r="KT101" s="26"/>
      <c r="KU101" s="26"/>
      <c r="KV101" s="26"/>
      <c r="KW101" s="26"/>
      <c r="KX101" s="26"/>
      <c r="KY101" s="26"/>
      <c r="KZ101" s="26"/>
      <c r="LA101" s="26"/>
      <c r="LB101" s="26"/>
      <c r="LC101" s="26"/>
      <c r="LD101" s="26"/>
      <c r="LE101" s="26"/>
      <c r="LF101" s="26"/>
      <c r="LG101" s="26"/>
      <c r="LH101" s="23"/>
      <c r="LI101" s="26"/>
      <c r="LJ101" s="26"/>
      <c r="LK101" s="26"/>
      <c r="LL101" s="26"/>
      <c r="LM101" s="26"/>
      <c r="LN101" s="26"/>
      <c r="LO101" s="26"/>
      <c r="LP101" s="26"/>
      <c r="LQ101" s="26"/>
      <c r="LR101" s="26"/>
      <c r="LS101" s="26"/>
      <c r="LT101" s="26"/>
      <c r="LU101" s="26"/>
      <c r="LV101" s="26"/>
      <c r="LW101" s="26"/>
      <c r="LX101" s="26"/>
      <c r="LY101" s="26"/>
      <c r="LZ101" s="26"/>
      <c r="MA101" s="26"/>
      <c r="MB101" s="26"/>
      <c r="MC101" s="26"/>
      <c r="MD101" s="26"/>
      <c r="ME101" s="26"/>
      <c r="MF101" s="26"/>
      <c r="MG101" s="26"/>
      <c r="MH101" s="26"/>
      <c r="MI101" s="26"/>
      <c r="MJ101" s="26"/>
      <c r="MK101" s="26"/>
      <c r="ML101" s="26"/>
      <c r="MM101" s="26"/>
      <c r="MN101" s="26"/>
      <c r="MO101" s="26"/>
      <c r="MP101" s="26"/>
      <c r="MQ101" s="26"/>
      <c r="MR101" s="26"/>
      <c r="MS101" s="26"/>
      <c r="MT101" s="26"/>
      <c r="MU101" s="23"/>
      <c r="MV101" s="26"/>
      <c r="MW101" s="26"/>
      <c r="MX101" s="26"/>
      <c r="MY101" s="26"/>
      <c r="MZ101" s="26"/>
      <c r="NA101" s="26"/>
      <c r="NB101" s="26"/>
      <c r="NC101" s="26"/>
      <c r="ND101" s="26"/>
      <c r="NE101" s="26"/>
      <c r="NF101" s="26"/>
      <c r="NG101" s="26"/>
      <c r="NH101" s="26"/>
      <c r="NI101" s="26"/>
      <c r="NJ101" s="26"/>
      <c r="NK101" s="26"/>
      <c r="NL101" s="26"/>
      <c r="NM101" s="26"/>
      <c r="NN101" s="26"/>
      <c r="NO101" s="26"/>
      <c r="NP101" s="26"/>
      <c r="NQ101" s="26"/>
      <c r="NR101" s="26"/>
      <c r="NS101" s="26"/>
      <c r="NT101" s="26"/>
      <c r="NU101" s="26"/>
      <c r="NV101" s="26"/>
      <c r="NW101" s="26"/>
      <c r="NX101" s="26"/>
      <c r="NY101" s="26"/>
      <c r="NZ101" s="26"/>
      <c r="OA101" s="26"/>
      <c r="OB101" s="26"/>
      <c r="OC101" s="26"/>
      <c r="OD101" s="26"/>
      <c r="OE101" s="26"/>
      <c r="OF101" s="26"/>
      <c r="OG101" s="26"/>
      <c r="OH101" s="23"/>
      <c r="OI101" s="26"/>
      <c r="OJ101" s="26"/>
      <c r="OK101" s="26"/>
      <c r="OL101" s="26"/>
      <c r="OM101" s="26"/>
      <c r="ON101" s="26"/>
      <c r="OO101" s="26"/>
      <c r="OP101" s="26"/>
      <c r="OQ101" s="26"/>
      <c r="OR101" s="26"/>
      <c r="OS101" s="26"/>
      <c r="OT101" s="26"/>
      <c r="OU101" s="26"/>
      <c r="OV101" s="26"/>
      <c r="OW101" s="26"/>
      <c r="OX101" s="26"/>
      <c r="OY101" s="26"/>
      <c r="OZ101" s="26"/>
      <c r="PA101" s="26"/>
      <c r="PB101" s="26"/>
      <c r="PC101" s="26"/>
      <c r="PD101" s="26"/>
      <c r="PE101" s="26"/>
      <c r="PF101" s="26"/>
      <c r="PG101" s="26"/>
      <c r="PH101" s="26"/>
      <c r="PI101" s="26"/>
      <c r="PJ101" s="26"/>
      <c r="PK101" s="26"/>
      <c r="PL101" s="26"/>
      <c r="PM101" s="26"/>
      <c r="PN101" s="26"/>
      <c r="PO101" s="26"/>
      <c r="PP101" s="26"/>
      <c r="PQ101" s="26"/>
      <c r="PR101" s="26"/>
      <c r="PS101" s="26"/>
      <c r="PT101" s="26"/>
    </row>
    <row r="102" spans="1:436" ht="15.75" thickBot="1" x14ac:dyDescent="0.3">
      <c r="A102" s="24"/>
      <c r="B102" s="25"/>
      <c r="C102" s="25"/>
      <c r="D102" s="25"/>
      <c r="E102" s="24"/>
      <c r="F102" s="24"/>
      <c r="G102" s="24"/>
      <c r="H102" s="23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3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83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23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3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3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3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6"/>
      <c r="JT102" s="26"/>
      <c r="JU102" s="23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6"/>
      <c r="KR102" s="26"/>
      <c r="KS102" s="26"/>
      <c r="KT102" s="26"/>
      <c r="KU102" s="26"/>
      <c r="KV102" s="26"/>
      <c r="KW102" s="26"/>
      <c r="KX102" s="26"/>
      <c r="KY102" s="26"/>
      <c r="KZ102" s="26"/>
      <c r="LA102" s="26"/>
      <c r="LB102" s="26"/>
      <c r="LC102" s="26"/>
      <c r="LD102" s="26"/>
      <c r="LE102" s="26"/>
      <c r="LF102" s="26"/>
      <c r="LG102" s="26"/>
      <c r="LH102" s="23"/>
      <c r="LI102" s="26"/>
      <c r="LJ102" s="26"/>
      <c r="LK102" s="26"/>
      <c r="LL102" s="26"/>
      <c r="LM102" s="26"/>
      <c r="LN102" s="26"/>
      <c r="LO102" s="26"/>
      <c r="LP102" s="26"/>
      <c r="LQ102" s="26"/>
      <c r="LR102" s="26"/>
      <c r="LS102" s="26"/>
      <c r="LT102" s="26"/>
      <c r="LU102" s="26"/>
      <c r="LV102" s="26"/>
      <c r="LW102" s="26"/>
      <c r="LX102" s="26"/>
      <c r="LY102" s="26"/>
      <c r="LZ102" s="26"/>
      <c r="MA102" s="26"/>
      <c r="MB102" s="26"/>
      <c r="MC102" s="26"/>
      <c r="MD102" s="26"/>
      <c r="ME102" s="26"/>
      <c r="MF102" s="26"/>
      <c r="MG102" s="26"/>
      <c r="MH102" s="26"/>
      <c r="MI102" s="26"/>
      <c r="MJ102" s="26"/>
      <c r="MK102" s="26"/>
      <c r="ML102" s="26"/>
      <c r="MM102" s="26"/>
      <c r="MN102" s="26"/>
      <c r="MO102" s="26"/>
      <c r="MP102" s="26"/>
      <c r="MQ102" s="26"/>
      <c r="MR102" s="26"/>
      <c r="MS102" s="26"/>
      <c r="MT102" s="26"/>
      <c r="MU102" s="23"/>
      <c r="MV102" s="26"/>
      <c r="MW102" s="26"/>
      <c r="MX102" s="26"/>
      <c r="MY102" s="26"/>
      <c r="MZ102" s="26"/>
      <c r="NA102" s="26"/>
      <c r="NB102" s="26"/>
      <c r="NC102" s="26"/>
      <c r="ND102" s="26"/>
      <c r="NE102" s="26"/>
      <c r="NF102" s="26"/>
      <c r="NG102" s="26"/>
      <c r="NH102" s="26"/>
      <c r="NI102" s="26"/>
      <c r="NJ102" s="26"/>
      <c r="NK102" s="26"/>
      <c r="NL102" s="26"/>
      <c r="NM102" s="26"/>
      <c r="NN102" s="26"/>
      <c r="NO102" s="26"/>
      <c r="NP102" s="26"/>
      <c r="NQ102" s="26"/>
      <c r="NR102" s="26"/>
      <c r="NS102" s="26"/>
      <c r="NT102" s="26"/>
      <c r="NU102" s="26"/>
      <c r="NV102" s="26"/>
      <c r="NW102" s="26"/>
      <c r="NX102" s="26"/>
      <c r="NY102" s="26"/>
      <c r="NZ102" s="26"/>
      <c r="OA102" s="26"/>
      <c r="OB102" s="26"/>
      <c r="OC102" s="26"/>
      <c r="OD102" s="26"/>
      <c r="OE102" s="26"/>
      <c r="OF102" s="26"/>
      <c r="OG102" s="26"/>
      <c r="OH102" s="23"/>
      <c r="OI102" s="26"/>
      <c r="OJ102" s="26"/>
      <c r="OK102" s="26"/>
      <c r="OL102" s="26"/>
      <c r="OM102" s="26"/>
      <c r="ON102" s="26"/>
      <c r="OO102" s="26"/>
      <c r="OP102" s="26"/>
      <c r="OQ102" s="26"/>
      <c r="OR102" s="26"/>
      <c r="OS102" s="26"/>
      <c r="OT102" s="26"/>
      <c r="OU102" s="26"/>
      <c r="OV102" s="26"/>
      <c r="OW102" s="26"/>
      <c r="OX102" s="26"/>
      <c r="OY102" s="26"/>
      <c r="OZ102" s="26"/>
      <c r="PA102" s="26"/>
      <c r="PB102" s="26"/>
      <c r="PC102" s="26"/>
      <c r="PD102" s="26"/>
      <c r="PE102" s="26"/>
      <c r="PF102" s="26"/>
      <c r="PG102" s="26"/>
      <c r="PH102" s="26"/>
      <c r="PI102" s="26"/>
      <c r="PJ102" s="26"/>
      <c r="PK102" s="26"/>
      <c r="PL102" s="26"/>
      <c r="PM102" s="26"/>
      <c r="PN102" s="26"/>
      <c r="PO102" s="26"/>
      <c r="PP102" s="26"/>
      <c r="PQ102" s="26"/>
      <c r="PR102" s="26"/>
      <c r="PS102" s="26"/>
      <c r="PT102" s="26"/>
    </row>
    <row r="103" spans="1:436" ht="15.75" thickBot="1" x14ac:dyDescent="0.3">
      <c r="A103" s="24"/>
      <c r="B103" s="25"/>
      <c r="C103" s="25"/>
      <c r="D103" s="25"/>
      <c r="E103" s="24"/>
      <c r="F103" s="24"/>
      <c r="G103" s="24"/>
      <c r="H103" s="23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3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83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82"/>
      <c r="DT103" s="82"/>
      <c r="DU103" s="23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3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3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3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6"/>
      <c r="JT103" s="26"/>
      <c r="JU103" s="23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6"/>
      <c r="KR103" s="26"/>
      <c r="KS103" s="26"/>
      <c r="KT103" s="26"/>
      <c r="KU103" s="26"/>
      <c r="KV103" s="26"/>
      <c r="KW103" s="26"/>
      <c r="KX103" s="26"/>
      <c r="KY103" s="26"/>
      <c r="KZ103" s="26"/>
      <c r="LA103" s="26"/>
      <c r="LB103" s="26"/>
      <c r="LC103" s="26"/>
      <c r="LD103" s="26"/>
      <c r="LE103" s="26"/>
      <c r="LF103" s="26"/>
      <c r="LG103" s="26"/>
      <c r="LH103" s="23"/>
      <c r="LI103" s="26"/>
      <c r="LJ103" s="26"/>
      <c r="LK103" s="26"/>
      <c r="LL103" s="26"/>
      <c r="LM103" s="26"/>
      <c r="LN103" s="26"/>
      <c r="LO103" s="26"/>
      <c r="LP103" s="26"/>
      <c r="LQ103" s="26"/>
      <c r="LR103" s="26"/>
      <c r="LS103" s="26"/>
      <c r="LT103" s="26"/>
      <c r="LU103" s="26"/>
      <c r="LV103" s="26"/>
      <c r="LW103" s="26"/>
      <c r="LX103" s="26"/>
      <c r="LY103" s="26"/>
      <c r="LZ103" s="26"/>
      <c r="MA103" s="26"/>
      <c r="MB103" s="26"/>
      <c r="MC103" s="26"/>
      <c r="MD103" s="26"/>
      <c r="ME103" s="26"/>
      <c r="MF103" s="26"/>
      <c r="MG103" s="26"/>
      <c r="MH103" s="26"/>
      <c r="MI103" s="26"/>
      <c r="MJ103" s="26"/>
      <c r="MK103" s="26"/>
      <c r="ML103" s="26"/>
      <c r="MM103" s="26"/>
      <c r="MN103" s="26"/>
      <c r="MO103" s="26"/>
      <c r="MP103" s="26"/>
      <c r="MQ103" s="26"/>
      <c r="MR103" s="26"/>
      <c r="MS103" s="26"/>
      <c r="MT103" s="26"/>
      <c r="MU103" s="23"/>
      <c r="MV103" s="26"/>
      <c r="MW103" s="26"/>
      <c r="MX103" s="26"/>
      <c r="MY103" s="26"/>
      <c r="MZ103" s="26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6"/>
      <c r="OC103" s="26"/>
      <c r="OD103" s="26"/>
      <c r="OE103" s="26"/>
      <c r="OF103" s="26"/>
      <c r="OG103" s="26"/>
      <c r="OH103" s="23"/>
      <c r="OI103" s="26"/>
      <c r="OJ103" s="26"/>
      <c r="OK103" s="26"/>
      <c r="OL103" s="26"/>
      <c r="OM103" s="26"/>
      <c r="ON103" s="26"/>
      <c r="OO103" s="26"/>
      <c r="OP103" s="26"/>
      <c r="OQ103" s="26"/>
      <c r="OR103" s="26"/>
      <c r="OS103" s="26"/>
      <c r="OT103" s="26"/>
      <c r="OU103" s="26"/>
      <c r="OV103" s="26"/>
      <c r="OW103" s="26"/>
      <c r="OX103" s="26"/>
      <c r="OY103" s="26"/>
      <c r="OZ103" s="26"/>
      <c r="PA103" s="26"/>
      <c r="PB103" s="26"/>
      <c r="PC103" s="26"/>
      <c r="PD103" s="26"/>
      <c r="PE103" s="26"/>
      <c r="PF103" s="26"/>
      <c r="PG103" s="26"/>
      <c r="PH103" s="26"/>
      <c r="PI103" s="26"/>
      <c r="PJ103" s="26"/>
      <c r="PK103" s="26"/>
      <c r="PL103" s="26"/>
      <c r="PM103" s="26"/>
      <c r="PN103" s="26"/>
      <c r="PO103" s="26"/>
      <c r="PP103" s="26"/>
      <c r="PQ103" s="26"/>
      <c r="PR103" s="26"/>
      <c r="PS103" s="26"/>
      <c r="PT103" s="26"/>
    </row>
    <row r="104" spans="1:436" ht="15.75" thickBot="1" x14ac:dyDescent="0.3">
      <c r="A104" s="24"/>
      <c r="B104" s="25"/>
      <c r="C104" s="25"/>
      <c r="D104" s="25"/>
      <c r="E104" s="24"/>
      <c r="F104" s="24"/>
      <c r="G104" s="24"/>
      <c r="H104" s="23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3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83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82"/>
      <c r="DT104" s="82"/>
      <c r="DU104" s="23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3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3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3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6"/>
      <c r="JT104" s="26"/>
      <c r="JU104" s="23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6"/>
      <c r="KR104" s="26"/>
      <c r="KS104" s="26"/>
      <c r="KT104" s="26"/>
      <c r="KU104" s="26"/>
      <c r="KV104" s="26"/>
      <c r="KW104" s="26"/>
      <c r="KX104" s="26"/>
      <c r="KY104" s="26"/>
      <c r="KZ104" s="26"/>
      <c r="LA104" s="26"/>
      <c r="LB104" s="26"/>
      <c r="LC104" s="26"/>
      <c r="LD104" s="26"/>
      <c r="LE104" s="26"/>
      <c r="LF104" s="26"/>
      <c r="LG104" s="26"/>
      <c r="LH104" s="23"/>
      <c r="LI104" s="26"/>
      <c r="LJ104" s="26"/>
      <c r="LK104" s="26"/>
      <c r="LL104" s="26"/>
      <c r="LM104" s="26"/>
      <c r="LN104" s="26"/>
      <c r="LO104" s="26"/>
      <c r="LP104" s="26"/>
      <c r="LQ104" s="26"/>
      <c r="LR104" s="26"/>
      <c r="LS104" s="26"/>
      <c r="LT104" s="26"/>
      <c r="LU104" s="26"/>
      <c r="LV104" s="26"/>
      <c r="LW104" s="26"/>
      <c r="LX104" s="26"/>
      <c r="LY104" s="26"/>
      <c r="LZ104" s="26"/>
      <c r="MA104" s="26"/>
      <c r="MB104" s="26"/>
      <c r="MC104" s="26"/>
      <c r="MD104" s="26"/>
      <c r="ME104" s="26"/>
      <c r="MF104" s="26"/>
      <c r="MG104" s="26"/>
      <c r="MH104" s="26"/>
      <c r="MI104" s="26"/>
      <c r="MJ104" s="26"/>
      <c r="MK104" s="26"/>
      <c r="ML104" s="26"/>
      <c r="MM104" s="26"/>
      <c r="MN104" s="26"/>
      <c r="MO104" s="26"/>
      <c r="MP104" s="26"/>
      <c r="MQ104" s="26"/>
      <c r="MR104" s="26"/>
      <c r="MS104" s="26"/>
      <c r="MT104" s="26"/>
      <c r="MU104" s="23"/>
      <c r="MV104" s="26"/>
      <c r="MW104" s="26"/>
      <c r="MX104" s="26"/>
      <c r="MY104" s="26"/>
      <c r="MZ104" s="26"/>
      <c r="NA104" s="26"/>
      <c r="NB104" s="26"/>
      <c r="NC104" s="26"/>
      <c r="ND104" s="26"/>
      <c r="NE104" s="26"/>
      <c r="NF104" s="26"/>
      <c r="NG104" s="26"/>
      <c r="NH104" s="26"/>
      <c r="NI104" s="26"/>
      <c r="NJ104" s="26"/>
      <c r="NK104" s="26"/>
      <c r="NL104" s="26"/>
      <c r="NM104" s="26"/>
      <c r="NN104" s="26"/>
      <c r="NO104" s="26"/>
      <c r="NP104" s="26"/>
      <c r="NQ104" s="26"/>
      <c r="NR104" s="26"/>
      <c r="NS104" s="26"/>
      <c r="NT104" s="26"/>
      <c r="NU104" s="26"/>
      <c r="NV104" s="26"/>
      <c r="NW104" s="26"/>
      <c r="NX104" s="26"/>
      <c r="NY104" s="26"/>
      <c r="NZ104" s="26"/>
      <c r="OA104" s="26"/>
      <c r="OB104" s="26"/>
      <c r="OC104" s="26"/>
      <c r="OD104" s="26"/>
      <c r="OE104" s="26"/>
      <c r="OF104" s="26"/>
      <c r="OG104" s="26"/>
      <c r="OH104" s="23"/>
      <c r="OI104" s="26"/>
      <c r="OJ104" s="26"/>
      <c r="OK104" s="26"/>
      <c r="OL104" s="26"/>
      <c r="OM104" s="26"/>
      <c r="ON104" s="26"/>
      <c r="OO104" s="26"/>
      <c r="OP104" s="26"/>
      <c r="OQ104" s="26"/>
      <c r="OR104" s="26"/>
      <c r="OS104" s="26"/>
      <c r="OT104" s="26"/>
      <c r="OU104" s="26"/>
      <c r="OV104" s="26"/>
      <c r="OW104" s="26"/>
      <c r="OX104" s="26"/>
      <c r="OY104" s="26"/>
      <c r="OZ104" s="26"/>
      <c r="PA104" s="26"/>
      <c r="PB104" s="26"/>
      <c r="PC104" s="26"/>
      <c r="PD104" s="26"/>
      <c r="PE104" s="26"/>
      <c r="PF104" s="26"/>
      <c r="PG104" s="26"/>
      <c r="PH104" s="26"/>
      <c r="PI104" s="26"/>
      <c r="PJ104" s="26"/>
      <c r="PK104" s="26"/>
      <c r="PL104" s="26"/>
      <c r="PM104" s="26"/>
      <c r="PN104" s="26"/>
      <c r="PO104" s="26"/>
      <c r="PP104" s="26"/>
      <c r="PQ104" s="26"/>
      <c r="PR104" s="26"/>
      <c r="PS104" s="26"/>
      <c r="PT104" s="26"/>
    </row>
    <row r="105" spans="1:436" ht="15.75" thickBot="1" x14ac:dyDescent="0.3">
      <c r="A105" s="24"/>
      <c r="B105" s="25"/>
      <c r="C105" s="25"/>
      <c r="D105" s="25"/>
      <c r="E105" s="24"/>
      <c r="F105" s="24"/>
      <c r="G105" s="24"/>
      <c r="H105" s="23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3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83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82"/>
      <c r="DT105" s="82"/>
      <c r="DU105" s="23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3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3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3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6"/>
      <c r="JT105" s="26"/>
      <c r="JU105" s="23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  <c r="KO105" s="26"/>
      <c r="KP105" s="26"/>
      <c r="KQ105" s="26"/>
      <c r="KR105" s="26"/>
      <c r="KS105" s="26"/>
      <c r="KT105" s="26"/>
      <c r="KU105" s="26"/>
      <c r="KV105" s="26"/>
      <c r="KW105" s="26"/>
      <c r="KX105" s="26"/>
      <c r="KY105" s="26"/>
      <c r="KZ105" s="26"/>
      <c r="LA105" s="26"/>
      <c r="LB105" s="26"/>
      <c r="LC105" s="26"/>
      <c r="LD105" s="26"/>
      <c r="LE105" s="26"/>
      <c r="LF105" s="26"/>
      <c r="LG105" s="26"/>
      <c r="LH105" s="23"/>
      <c r="LI105" s="26"/>
      <c r="LJ105" s="26"/>
      <c r="LK105" s="26"/>
      <c r="LL105" s="26"/>
      <c r="LM105" s="26"/>
      <c r="LN105" s="26"/>
      <c r="LO105" s="26"/>
      <c r="LP105" s="26"/>
      <c r="LQ105" s="26"/>
      <c r="LR105" s="26"/>
      <c r="LS105" s="26"/>
      <c r="LT105" s="26"/>
      <c r="LU105" s="26"/>
      <c r="LV105" s="26"/>
      <c r="LW105" s="26"/>
      <c r="LX105" s="26"/>
      <c r="LY105" s="26"/>
      <c r="LZ105" s="26"/>
      <c r="MA105" s="26"/>
      <c r="MB105" s="26"/>
      <c r="MC105" s="26"/>
      <c r="MD105" s="26"/>
      <c r="ME105" s="26"/>
      <c r="MF105" s="26"/>
      <c r="MG105" s="26"/>
      <c r="MH105" s="26"/>
      <c r="MI105" s="26"/>
      <c r="MJ105" s="26"/>
      <c r="MK105" s="26"/>
      <c r="ML105" s="26"/>
      <c r="MM105" s="26"/>
      <c r="MN105" s="26"/>
      <c r="MO105" s="26"/>
      <c r="MP105" s="26"/>
      <c r="MQ105" s="26"/>
      <c r="MR105" s="26"/>
      <c r="MS105" s="26"/>
      <c r="MT105" s="26"/>
      <c r="MU105" s="23"/>
      <c r="MV105" s="26"/>
      <c r="MW105" s="26"/>
      <c r="MX105" s="26"/>
      <c r="MY105" s="26"/>
      <c r="MZ105" s="26"/>
      <c r="NA105" s="26"/>
      <c r="NB105" s="26"/>
      <c r="NC105" s="26"/>
      <c r="ND105" s="26"/>
      <c r="NE105" s="26"/>
      <c r="NF105" s="26"/>
      <c r="NG105" s="26"/>
      <c r="NH105" s="26"/>
      <c r="NI105" s="26"/>
      <c r="NJ105" s="26"/>
      <c r="NK105" s="26"/>
      <c r="NL105" s="26"/>
      <c r="NM105" s="26"/>
      <c r="NN105" s="26"/>
      <c r="NO105" s="26"/>
      <c r="NP105" s="26"/>
      <c r="NQ105" s="26"/>
      <c r="NR105" s="26"/>
      <c r="NS105" s="26"/>
      <c r="NT105" s="26"/>
      <c r="NU105" s="26"/>
      <c r="NV105" s="26"/>
      <c r="NW105" s="26"/>
      <c r="NX105" s="26"/>
      <c r="NY105" s="26"/>
      <c r="NZ105" s="26"/>
      <c r="OA105" s="26"/>
      <c r="OB105" s="26"/>
      <c r="OC105" s="26"/>
      <c r="OD105" s="26"/>
      <c r="OE105" s="26"/>
      <c r="OF105" s="26"/>
      <c r="OG105" s="26"/>
      <c r="OH105" s="23"/>
      <c r="OI105" s="26"/>
      <c r="OJ105" s="26"/>
      <c r="OK105" s="26"/>
      <c r="OL105" s="26"/>
      <c r="OM105" s="26"/>
      <c r="ON105" s="26"/>
      <c r="OO105" s="26"/>
      <c r="OP105" s="26"/>
      <c r="OQ105" s="26"/>
      <c r="OR105" s="26"/>
      <c r="OS105" s="26"/>
      <c r="OT105" s="26"/>
      <c r="OU105" s="26"/>
      <c r="OV105" s="26"/>
      <c r="OW105" s="26"/>
      <c r="OX105" s="26"/>
      <c r="OY105" s="26"/>
      <c r="OZ105" s="26"/>
      <c r="PA105" s="26"/>
      <c r="PB105" s="26"/>
      <c r="PC105" s="26"/>
      <c r="PD105" s="26"/>
      <c r="PE105" s="26"/>
      <c r="PF105" s="26"/>
      <c r="PG105" s="26"/>
      <c r="PH105" s="26"/>
      <c r="PI105" s="26"/>
      <c r="PJ105" s="26"/>
      <c r="PK105" s="26"/>
      <c r="PL105" s="26"/>
      <c r="PM105" s="26"/>
      <c r="PN105" s="26"/>
      <c r="PO105" s="26"/>
      <c r="PP105" s="26"/>
      <c r="PQ105" s="26"/>
      <c r="PR105" s="26"/>
      <c r="PS105" s="26"/>
      <c r="PT105" s="26"/>
    </row>
    <row r="106" spans="1:436" ht="15.75" thickBot="1" x14ac:dyDescent="0.3">
      <c r="A106" s="24"/>
      <c r="B106" s="25"/>
      <c r="C106" s="25"/>
      <c r="D106" s="25"/>
      <c r="E106" s="24"/>
      <c r="F106" s="24"/>
      <c r="G106" s="24"/>
      <c r="H106" s="23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3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83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82"/>
      <c r="DT106" s="82"/>
      <c r="DU106" s="23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3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3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3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6"/>
      <c r="JT106" s="26"/>
      <c r="JU106" s="23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  <c r="KO106" s="26"/>
      <c r="KP106" s="26"/>
      <c r="KQ106" s="26"/>
      <c r="KR106" s="26"/>
      <c r="KS106" s="26"/>
      <c r="KT106" s="26"/>
      <c r="KU106" s="26"/>
      <c r="KV106" s="26"/>
      <c r="KW106" s="26"/>
      <c r="KX106" s="26"/>
      <c r="KY106" s="26"/>
      <c r="KZ106" s="26"/>
      <c r="LA106" s="26"/>
      <c r="LB106" s="26"/>
      <c r="LC106" s="26"/>
      <c r="LD106" s="26"/>
      <c r="LE106" s="26"/>
      <c r="LF106" s="26"/>
      <c r="LG106" s="26"/>
      <c r="LH106" s="23"/>
      <c r="LI106" s="26"/>
      <c r="LJ106" s="26"/>
      <c r="LK106" s="26"/>
      <c r="LL106" s="26"/>
      <c r="LM106" s="26"/>
      <c r="LN106" s="26"/>
      <c r="LO106" s="26"/>
      <c r="LP106" s="26"/>
      <c r="LQ106" s="26"/>
      <c r="LR106" s="26"/>
      <c r="LS106" s="26"/>
      <c r="LT106" s="26"/>
      <c r="LU106" s="26"/>
      <c r="LV106" s="26"/>
      <c r="LW106" s="26"/>
      <c r="LX106" s="26"/>
      <c r="LY106" s="26"/>
      <c r="LZ106" s="26"/>
      <c r="MA106" s="26"/>
      <c r="MB106" s="26"/>
      <c r="MC106" s="26"/>
      <c r="MD106" s="26"/>
      <c r="ME106" s="26"/>
      <c r="MF106" s="26"/>
      <c r="MG106" s="26"/>
      <c r="MH106" s="26"/>
      <c r="MI106" s="26"/>
      <c r="MJ106" s="26"/>
      <c r="MK106" s="26"/>
      <c r="ML106" s="26"/>
      <c r="MM106" s="26"/>
      <c r="MN106" s="26"/>
      <c r="MO106" s="26"/>
      <c r="MP106" s="26"/>
      <c r="MQ106" s="26"/>
      <c r="MR106" s="26"/>
      <c r="MS106" s="26"/>
      <c r="MT106" s="26"/>
      <c r="MU106" s="23"/>
      <c r="MV106" s="26"/>
      <c r="MW106" s="26"/>
      <c r="MX106" s="26"/>
      <c r="MY106" s="26"/>
      <c r="MZ106" s="26"/>
      <c r="NA106" s="26"/>
      <c r="NB106" s="26"/>
      <c r="NC106" s="26"/>
      <c r="ND106" s="26"/>
      <c r="NE106" s="26"/>
      <c r="NF106" s="26"/>
      <c r="NG106" s="26"/>
      <c r="NH106" s="26"/>
      <c r="NI106" s="26"/>
      <c r="NJ106" s="26"/>
      <c r="NK106" s="26"/>
      <c r="NL106" s="26"/>
      <c r="NM106" s="26"/>
      <c r="NN106" s="26"/>
      <c r="NO106" s="26"/>
      <c r="NP106" s="26"/>
      <c r="NQ106" s="26"/>
      <c r="NR106" s="26"/>
      <c r="NS106" s="26"/>
      <c r="NT106" s="26"/>
      <c r="NU106" s="26"/>
      <c r="NV106" s="26"/>
      <c r="NW106" s="26"/>
      <c r="NX106" s="26"/>
      <c r="NY106" s="26"/>
      <c r="NZ106" s="26"/>
      <c r="OA106" s="26"/>
      <c r="OB106" s="26"/>
      <c r="OC106" s="26"/>
      <c r="OD106" s="26"/>
      <c r="OE106" s="26"/>
      <c r="OF106" s="26"/>
      <c r="OG106" s="26"/>
      <c r="OH106" s="23"/>
      <c r="OI106" s="26"/>
      <c r="OJ106" s="26"/>
      <c r="OK106" s="26"/>
      <c r="OL106" s="26"/>
      <c r="OM106" s="26"/>
      <c r="ON106" s="26"/>
      <c r="OO106" s="26"/>
      <c r="OP106" s="26"/>
      <c r="OQ106" s="26"/>
      <c r="OR106" s="26"/>
      <c r="OS106" s="26"/>
      <c r="OT106" s="26"/>
      <c r="OU106" s="26"/>
      <c r="OV106" s="26"/>
      <c r="OW106" s="26"/>
      <c r="OX106" s="26"/>
      <c r="OY106" s="26"/>
      <c r="OZ106" s="26"/>
      <c r="PA106" s="26"/>
      <c r="PB106" s="26"/>
      <c r="PC106" s="26"/>
      <c r="PD106" s="26"/>
      <c r="PE106" s="26"/>
      <c r="PF106" s="26"/>
      <c r="PG106" s="26"/>
      <c r="PH106" s="26"/>
      <c r="PI106" s="26"/>
      <c r="PJ106" s="26"/>
      <c r="PK106" s="26"/>
      <c r="PL106" s="26"/>
      <c r="PM106" s="26"/>
      <c r="PN106" s="26"/>
      <c r="PO106" s="26"/>
      <c r="PP106" s="26"/>
      <c r="PQ106" s="26"/>
      <c r="PR106" s="26"/>
      <c r="PS106" s="26"/>
      <c r="PT106" s="26"/>
    </row>
    <row r="107" spans="1:436" ht="15.75" thickBot="1" x14ac:dyDescent="0.3">
      <c r="A107" s="24"/>
      <c r="B107" s="25"/>
      <c r="C107" s="25"/>
      <c r="D107" s="25"/>
      <c r="E107" s="24"/>
      <c r="F107" s="24"/>
      <c r="G107" s="24"/>
      <c r="H107" s="23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3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83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82"/>
      <c r="DT107" s="82"/>
      <c r="DU107" s="23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3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3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3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6"/>
      <c r="JO107" s="26"/>
      <c r="JP107" s="26"/>
      <c r="JQ107" s="26"/>
      <c r="JR107" s="26"/>
      <c r="JS107" s="26"/>
      <c r="JT107" s="26"/>
      <c r="JU107" s="23"/>
      <c r="JV107" s="26"/>
      <c r="JW107" s="26"/>
      <c r="JX107" s="26"/>
      <c r="JY107" s="26"/>
      <c r="JZ107" s="26"/>
      <c r="KA107" s="26"/>
      <c r="KB107" s="26"/>
      <c r="KC107" s="26"/>
      <c r="KD107" s="26"/>
      <c r="KE107" s="26"/>
      <c r="KF107" s="26"/>
      <c r="KG107" s="26"/>
      <c r="KH107" s="26"/>
      <c r="KI107" s="26"/>
      <c r="KJ107" s="26"/>
      <c r="KK107" s="26"/>
      <c r="KL107" s="26"/>
      <c r="KM107" s="26"/>
      <c r="KN107" s="26"/>
      <c r="KO107" s="26"/>
      <c r="KP107" s="26"/>
      <c r="KQ107" s="26"/>
      <c r="KR107" s="26"/>
      <c r="KS107" s="26"/>
      <c r="KT107" s="26"/>
      <c r="KU107" s="26"/>
      <c r="KV107" s="26"/>
      <c r="KW107" s="26"/>
      <c r="KX107" s="26"/>
      <c r="KY107" s="26"/>
      <c r="KZ107" s="26"/>
      <c r="LA107" s="26"/>
      <c r="LB107" s="26"/>
      <c r="LC107" s="26"/>
      <c r="LD107" s="26"/>
      <c r="LE107" s="26"/>
      <c r="LF107" s="26"/>
      <c r="LG107" s="26"/>
      <c r="LH107" s="23"/>
      <c r="LI107" s="26"/>
      <c r="LJ107" s="26"/>
      <c r="LK107" s="26"/>
      <c r="LL107" s="26"/>
      <c r="LM107" s="26"/>
      <c r="LN107" s="26"/>
      <c r="LO107" s="26"/>
      <c r="LP107" s="26"/>
      <c r="LQ107" s="26"/>
      <c r="LR107" s="26"/>
      <c r="LS107" s="26"/>
      <c r="LT107" s="26"/>
      <c r="LU107" s="26"/>
      <c r="LV107" s="26"/>
      <c r="LW107" s="26"/>
      <c r="LX107" s="26"/>
      <c r="LY107" s="26"/>
      <c r="LZ107" s="26"/>
      <c r="MA107" s="26"/>
      <c r="MB107" s="26"/>
      <c r="MC107" s="26"/>
      <c r="MD107" s="26"/>
      <c r="ME107" s="26"/>
      <c r="MF107" s="26"/>
      <c r="MG107" s="26"/>
      <c r="MH107" s="26"/>
      <c r="MI107" s="26"/>
      <c r="MJ107" s="26"/>
      <c r="MK107" s="26"/>
      <c r="ML107" s="26"/>
      <c r="MM107" s="26"/>
      <c r="MN107" s="26"/>
      <c r="MO107" s="26"/>
      <c r="MP107" s="26"/>
      <c r="MQ107" s="26"/>
      <c r="MR107" s="26"/>
      <c r="MS107" s="26"/>
      <c r="MT107" s="26"/>
      <c r="MU107" s="23"/>
      <c r="MV107" s="26"/>
      <c r="MW107" s="26"/>
      <c r="MX107" s="26"/>
      <c r="MY107" s="26"/>
      <c r="MZ107" s="26"/>
      <c r="NA107" s="26"/>
      <c r="NB107" s="26"/>
      <c r="NC107" s="26"/>
      <c r="ND107" s="26"/>
      <c r="NE107" s="26"/>
      <c r="NF107" s="26"/>
      <c r="NG107" s="26"/>
      <c r="NH107" s="26"/>
      <c r="NI107" s="26"/>
      <c r="NJ107" s="26"/>
      <c r="NK107" s="26"/>
      <c r="NL107" s="26"/>
      <c r="NM107" s="26"/>
      <c r="NN107" s="26"/>
      <c r="NO107" s="26"/>
      <c r="NP107" s="26"/>
      <c r="NQ107" s="26"/>
      <c r="NR107" s="26"/>
      <c r="NS107" s="26"/>
      <c r="NT107" s="26"/>
      <c r="NU107" s="26"/>
      <c r="NV107" s="26"/>
      <c r="NW107" s="26"/>
      <c r="NX107" s="26"/>
      <c r="NY107" s="26"/>
      <c r="NZ107" s="26"/>
      <c r="OA107" s="26"/>
      <c r="OB107" s="26"/>
      <c r="OC107" s="26"/>
      <c r="OD107" s="26"/>
      <c r="OE107" s="26"/>
      <c r="OF107" s="26"/>
      <c r="OG107" s="26"/>
      <c r="OH107" s="23"/>
      <c r="OI107" s="26"/>
      <c r="OJ107" s="26"/>
      <c r="OK107" s="26"/>
      <c r="OL107" s="26"/>
      <c r="OM107" s="26"/>
      <c r="ON107" s="26"/>
      <c r="OO107" s="26"/>
      <c r="OP107" s="26"/>
      <c r="OQ107" s="26"/>
      <c r="OR107" s="26"/>
      <c r="OS107" s="26"/>
      <c r="OT107" s="26"/>
      <c r="OU107" s="26"/>
      <c r="OV107" s="26"/>
      <c r="OW107" s="26"/>
      <c r="OX107" s="26"/>
      <c r="OY107" s="26"/>
      <c r="OZ107" s="26"/>
      <c r="PA107" s="26"/>
      <c r="PB107" s="26"/>
      <c r="PC107" s="26"/>
      <c r="PD107" s="26"/>
      <c r="PE107" s="26"/>
      <c r="PF107" s="26"/>
      <c r="PG107" s="26"/>
      <c r="PH107" s="26"/>
      <c r="PI107" s="26"/>
      <c r="PJ107" s="26"/>
      <c r="PK107" s="26"/>
      <c r="PL107" s="26"/>
      <c r="PM107" s="26"/>
      <c r="PN107" s="26"/>
      <c r="PO107" s="26"/>
      <c r="PP107" s="26"/>
      <c r="PQ107" s="26"/>
      <c r="PR107" s="26"/>
      <c r="PS107" s="26"/>
      <c r="PT107" s="26"/>
    </row>
    <row r="108" spans="1:436" ht="15.75" thickBot="1" x14ac:dyDescent="0.3">
      <c r="A108" s="24"/>
      <c r="B108" s="25"/>
      <c r="C108" s="25"/>
      <c r="D108" s="25"/>
      <c r="E108" s="24"/>
      <c r="F108" s="24"/>
      <c r="G108" s="24"/>
      <c r="H108" s="23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3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83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23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3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3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3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  <c r="JD108" s="26"/>
      <c r="JE108" s="26"/>
      <c r="JF108" s="26"/>
      <c r="JG108" s="26"/>
      <c r="JH108" s="26"/>
      <c r="JI108" s="26"/>
      <c r="JJ108" s="26"/>
      <c r="JK108" s="26"/>
      <c r="JL108" s="26"/>
      <c r="JM108" s="26"/>
      <c r="JN108" s="26"/>
      <c r="JO108" s="26"/>
      <c r="JP108" s="26"/>
      <c r="JQ108" s="26"/>
      <c r="JR108" s="26"/>
      <c r="JS108" s="26"/>
      <c r="JT108" s="26"/>
      <c r="JU108" s="23"/>
      <c r="JV108" s="26"/>
      <c r="JW108" s="26"/>
      <c r="JX108" s="26"/>
      <c r="JY108" s="26"/>
      <c r="JZ108" s="26"/>
      <c r="KA108" s="26"/>
      <c r="KB108" s="26"/>
      <c r="KC108" s="26"/>
      <c r="KD108" s="26"/>
      <c r="KE108" s="26"/>
      <c r="KF108" s="26"/>
      <c r="KG108" s="26"/>
      <c r="KH108" s="26"/>
      <c r="KI108" s="26"/>
      <c r="KJ108" s="26"/>
      <c r="KK108" s="26"/>
      <c r="KL108" s="26"/>
      <c r="KM108" s="26"/>
      <c r="KN108" s="26"/>
      <c r="KO108" s="26"/>
      <c r="KP108" s="26"/>
      <c r="KQ108" s="26"/>
      <c r="KR108" s="26"/>
      <c r="KS108" s="26"/>
      <c r="KT108" s="26"/>
      <c r="KU108" s="26"/>
      <c r="KV108" s="26"/>
      <c r="KW108" s="26"/>
      <c r="KX108" s="26"/>
      <c r="KY108" s="26"/>
      <c r="KZ108" s="26"/>
      <c r="LA108" s="26"/>
      <c r="LB108" s="26"/>
      <c r="LC108" s="26"/>
      <c r="LD108" s="26"/>
      <c r="LE108" s="26"/>
      <c r="LF108" s="26"/>
      <c r="LG108" s="26"/>
      <c r="LH108" s="23"/>
      <c r="LI108" s="26"/>
      <c r="LJ108" s="26"/>
      <c r="LK108" s="26"/>
      <c r="LL108" s="26"/>
      <c r="LM108" s="26"/>
      <c r="LN108" s="26"/>
      <c r="LO108" s="26"/>
      <c r="LP108" s="26"/>
      <c r="LQ108" s="26"/>
      <c r="LR108" s="26"/>
      <c r="LS108" s="26"/>
      <c r="LT108" s="26"/>
      <c r="LU108" s="26"/>
      <c r="LV108" s="26"/>
      <c r="LW108" s="26"/>
      <c r="LX108" s="26"/>
      <c r="LY108" s="26"/>
      <c r="LZ108" s="26"/>
      <c r="MA108" s="26"/>
      <c r="MB108" s="26"/>
      <c r="MC108" s="26"/>
      <c r="MD108" s="26"/>
      <c r="ME108" s="26"/>
      <c r="MF108" s="26"/>
      <c r="MG108" s="26"/>
      <c r="MH108" s="26"/>
      <c r="MI108" s="26"/>
      <c r="MJ108" s="26"/>
      <c r="MK108" s="26"/>
      <c r="ML108" s="26"/>
      <c r="MM108" s="26"/>
      <c r="MN108" s="26"/>
      <c r="MO108" s="26"/>
      <c r="MP108" s="26"/>
      <c r="MQ108" s="26"/>
      <c r="MR108" s="26"/>
      <c r="MS108" s="26"/>
      <c r="MT108" s="26"/>
      <c r="MU108" s="23"/>
      <c r="MV108" s="26"/>
      <c r="MW108" s="26"/>
      <c r="MX108" s="26"/>
      <c r="MY108" s="26"/>
      <c r="MZ108" s="26"/>
      <c r="NA108" s="26"/>
      <c r="NB108" s="26"/>
      <c r="NC108" s="26"/>
      <c r="ND108" s="26"/>
      <c r="NE108" s="26"/>
      <c r="NF108" s="26"/>
      <c r="NG108" s="26"/>
      <c r="NH108" s="26"/>
      <c r="NI108" s="26"/>
      <c r="NJ108" s="26"/>
      <c r="NK108" s="26"/>
      <c r="NL108" s="26"/>
      <c r="NM108" s="26"/>
      <c r="NN108" s="26"/>
      <c r="NO108" s="26"/>
      <c r="NP108" s="26"/>
      <c r="NQ108" s="26"/>
      <c r="NR108" s="26"/>
      <c r="NS108" s="26"/>
      <c r="NT108" s="26"/>
      <c r="NU108" s="26"/>
      <c r="NV108" s="26"/>
      <c r="NW108" s="26"/>
      <c r="NX108" s="26"/>
      <c r="NY108" s="26"/>
      <c r="NZ108" s="26"/>
      <c r="OA108" s="26"/>
      <c r="OB108" s="26"/>
      <c r="OC108" s="26"/>
      <c r="OD108" s="26"/>
      <c r="OE108" s="26"/>
      <c r="OF108" s="26"/>
      <c r="OG108" s="26"/>
      <c r="OH108" s="23"/>
      <c r="OI108" s="26"/>
      <c r="OJ108" s="26"/>
      <c r="OK108" s="26"/>
      <c r="OL108" s="26"/>
      <c r="OM108" s="26"/>
      <c r="ON108" s="26"/>
      <c r="OO108" s="26"/>
      <c r="OP108" s="26"/>
      <c r="OQ108" s="26"/>
      <c r="OR108" s="26"/>
      <c r="OS108" s="26"/>
      <c r="OT108" s="26"/>
      <c r="OU108" s="26"/>
      <c r="OV108" s="26"/>
      <c r="OW108" s="26"/>
      <c r="OX108" s="26"/>
      <c r="OY108" s="26"/>
      <c r="OZ108" s="26"/>
      <c r="PA108" s="26"/>
      <c r="PB108" s="26"/>
      <c r="PC108" s="26"/>
      <c r="PD108" s="26"/>
      <c r="PE108" s="26"/>
      <c r="PF108" s="26"/>
      <c r="PG108" s="26"/>
      <c r="PH108" s="26"/>
      <c r="PI108" s="26"/>
      <c r="PJ108" s="26"/>
      <c r="PK108" s="26"/>
      <c r="PL108" s="26"/>
      <c r="PM108" s="26"/>
      <c r="PN108" s="26"/>
      <c r="PO108" s="26"/>
      <c r="PP108" s="26"/>
      <c r="PQ108" s="26"/>
      <c r="PR108" s="26"/>
      <c r="PS108" s="26"/>
      <c r="PT108" s="26"/>
    </row>
    <row r="109" spans="1:436" ht="15.75" thickBot="1" x14ac:dyDescent="0.3">
      <c r="A109" s="24"/>
      <c r="B109" s="25"/>
      <c r="C109" s="25"/>
      <c r="D109" s="25"/>
      <c r="E109" s="24"/>
      <c r="F109" s="24"/>
      <c r="G109" s="24"/>
      <c r="H109" s="23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3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83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23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3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3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3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6"/>
      <c r="JO109" s="26"/>
      <c r="JP109" s="26"/>
      <c r="JQ109" s="26"/>
      <c r="JR109" s="26"/>
      <c r="JS109" s="26"/>
      <c r="JT109" s="26"/>
      <c r="JU109" s="23"/>
      <c r="JV109" s="26"/>
      <c r="JW109" s="26"/>
      <c r="JX109" s="26"/>
      <c r="JY109" s="26"/>
      <c r="JZ109" s="26"/>
      <c r="KA109" s="26"/>
      <c r="KB109" s="26"/>
      <c r="KC109" s="26"/>
      <c r="KD109" s="26"/>
      <c r="KE109" s="26"/>
      <c r="KF109" s="26"/>
      <c r="KG109" s="26"/>
      <c r="KH109" s="26"/>
      <c r="KI109" s="26"/>
      <c r="KJ109" s="26"/>
      <c r="KK109" s="26"/>
      <c r="KL109" s="26"/>
      <c r="KM109" s="26"/>
      <c r="KN109" s="26"/>
      <c r="KO109" s="26"/>
      <c r="KP109" s="26"/>
      <c r="KQ109" s="26"/>
      <c r="KR109" s="26"/>
      <c r="KS109" s="26"/>
      <c r="KT109" s="26"/>
      <c r="KU109" s="26"/>
      <c r="KV109" s="26"/>
      <c r="KW109" s="26"/>
      <c r="KX109" s="26"/>
      <c r="KY109" s="26"/>
      <c r="KZ109" s="26"/>
      <c r="LA109" s="26"/>
      <c r="LB109" s="26"/>
      <c r="LC109" s="26"/>
      <c r="LD109" s="26"/>
      <c r="LE109" s="26"/>
      <c r="LF109" s="26"/>
      <c r="LG109" s="26"/>
      <c r="LH109" s="23"/>
      <c r="LI109" s="26"/>
      <c r="LJ109" s="26"/>
      <c r="LK109" s="26"/>
      <c r="LL109" s="26"/>
      <c r="LM109" s="26"/>
      <c r="LN109" s="26"/>
      <c r="LO109" s="26"/>
      <c r="LP109" s="26"/>
      <c r="LQ109" s="26"/>
      <c r="LR109" s="26"/>
      <c r="LS109" s="26"/>
      <c r="LT109" s="26"/>
      <c r="LU109" s="26"/>
      <c r="LV109" s="26"/>
      <c r="LW109" s="26"/>
      <c r="LX109" s="26"/>
      <c r="LY109" s="26"/>
      <c r="LZ109" s="26"/>
      <c r="MA109" s="26"/>
      <c r="MB109" s="26"/>
      <c r="MC109" s="26"/>
      <c r="MD109" s="26"/>
      <c r="ME109" s="26"/>
      <c r="MF109" s="26"/>
      <c r="MG109" s="26"/>
      <c r="MH109" s="26"/>
      <c r="MI109" s="26"/>
      <c r="MJ109" s="26"/>
      <c r="MK109" s="26"/>
      <c r="ML109" s="26"/>
      <c r="MM109" s="26"/>
      <c r="MN109" s="26"/>
      <c r="MO109" s="26"/>
      <c r="MP109" s="26"/>
      <c r="MQ109" s="26"/>
      <c r="MR109" s="26"/>
      <c r="MS109" s="26"/>
      <c r="MT109" s="26"/>
      <c r="MU109" s="23"/>
      <c r="MV109" s="26"/>
      <c r="MW109" s="26"/>
      <c r="MX109" s="26"/>
      <c r="MY109" s="26"/>
      <c r="MZ109" s="26"/>
      <c r="NA109" s="26"/>
      <c r="NB109" s="26"/>
      <c r="NC109" s="26"/>
      <c r="ND109" s="26"/>
      <c r="NE109" s="26"/>
      <c r="NF109" s="26"/>
      <c r="NG109" s="26"/>
      <c r="NH109" s="26"/>
      <c r="NI109" s="26"/>
      <c r="NJ109" s="26"/>
      <c r="NK109" s="26"/>
      <c r="NL109" s="26"/>
      <c r="NM109" s="26"/>
      <c r="NN109" s="26"/>
      <c r="NO109" s="26"/>
      <c r="NP109" s="26"/>
      <c r="NQ109" s="26"/>
      <c r="NR109" s="26"/>
      <c r="NS109" s="26"/>
      <c r="NT109" s="26"/>
      <c r="NU109" s="26"/>
      <c r="NV109" s="26"/>
      <c r="NW109" s="26"/>
      <c r="NX109" s="26"/>
      <c r="NY109" s="26"/>
      <c r="NZ109" s="26"/>
      <c r="OA109" s="26"/>
      <c r="OB109" s="26"/>
      <c r="OC109" s="26"/>
      <c r="OD109" s="26"/>
      <c r="OE109" s="26"/>
      <c r="OF109" s="26"/>
      <c r="OG109" s="26"/>
      <c r="OH109" s="23"/>
      <c r="OI109" s="26"/>
      <c r="OJ109" s="26"/>
      <c r="OK109" s="26"/>
      <c r="OL109" s="26"/>
      <c r="OM109" s="26"/>
      <c r="ON109" s="26"/>
      <c r="OO109" s="26"/>
      <c r="OP109" s="26"/>
      <c r="OQ109" s="26"/>
      <c r="OR109" s="26"/>
      <c r="OS109" s="26"/>
      <c r="OT109" s="26"/>
      <c r="OU109" s="26"/>
      <c r="OV109" s="26"/>
      <c r="OW109" s="26"/>
      <c r="OX109" s="26"/>
      <c r="OY109" s="26"/>
      <c r="OZ109" s="26"/>
      <c r="PA109" s="26"/>
      <c r="PB109" s="26"/>
      <c r="PC109" s="26"/>
      <c r="PD109" s="26"/>
      <c r="PE109" s="26"/>
      <c r="PF109" s="26"/>
      <c r="PG109" s="26"/>
      <c r="PH109" s="26"/>
      <c r="PI109" s="26"/>
      <c r="PJ109" s="26"/>
      <c r="PK109" s="26"/>
      <c r="PL109" s="26"/>
      <c r="PM109" s="26"/>
      <c r="PN109" s="26"/>
      <c r="PO109" s="26"/>
      <c r="PP109" s="26"/>
      <c r="PQ109" s="26"/>
      <c r="PR109" s="26"/>
      <c r="PS109" s="26"/>
      <c r="PT109" s="26"/>
    </row>
    <row r="110" spans="1:436" ht="15.75" thickBot="1" x14ac:dyDescent="0.3">
      <c r="A110" s="24"/>
      <c r="B110" s="25"/>
      <c r="C110" s="25"/>
      <c r="D110" s="25"/>
      <c r="E110" s="24"/>
      <c r="F110" s="24"/>
      <c r="G110" s="24"/>
      <c r="H110" s="23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3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83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82"/>
      <c r="DT110" s="82"/>
      <c r="DU110" s="23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3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3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3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6"/>
      <c r="JO110" s="26"/>
      <c r="JP110" s="26"/>
      <c r="JQ110" s="26"/>
      <c r="JR110" s="26"/>
      <c r="JS110" s="26"/>
      <c r="JT110" s="26"/>
      <c r="JU110" s="23"/>
      <c r="JV110" s="26"/>
      <c r="JW110" s="26"/>
      <c r="JX110" s="26"/>
      <c r="JY110" s="26"/>
      <c r="JZ110" s="26"/>
      <c r="KA110" s="26"/>
      <c r="KB110" s="26"/>
      <c r="KC110" s="26"/>
      <c r="KD110" s="26"/>
      <c r="KE110" s="26"/>
      <c r="KF110" s="26"/>
      <c r="KG110" s="26"/>
      <c r="KH110" s="26"/>
      <c r="KI110" s="26"/>
      <c r="KJ110" s="26"/>
      <c r="KK110" s="26"/>
      <c r="KL110" s="26"/>
      <c r="KM110" s="26"/>
      <c r="KN110" s="26"/>
      <c r="KO110" s="26"/>
      <c r="KP110" s="26"/>
      <c r="KQ110" s="26"/>
      <c r="KR110" s="26"/>
      <c r="KS110" s="26"/>
      <c r="KT110" s="26"/>
      <c r="KU110" s="26"/>
      <c r="KV110" s="26"/>
      <c r="KW110" s="26"/>
      <c r="KX110" s="26"/>
      <c r="KY110" s="26"/>
      <c r="KZ110" s="26"/>
      <c r="LA110" s="26"/>
      <c r="LB110" s="26"/>
      <c r="LC110" s="26"/>
      <c r="LD110" s="26"/>
      <c r="LE110" s="26"/>
      <c r="LF110" s="26"/>
      <c r="LG110" s="26"/>
      <c r="LH110" s="23"/>
      <c r="LI110" s="26"/>
      <c r="LJ110" s="26"/>
      <c r="LK110" s="26"/>
      <c r="LL110" s="26"/>
      <c r="LM110" s="26"/>
      <c r="LN110" s="26"/>
      <c r="LO110" s="26"/>
      <c r="LP110" s="26"/>
      <c r="LQ110" s="26"/>
      <c r="LR110" s="26"/>
      <c r="LS110" s="26"/>
      <c r="LT110" s="26"/>
      <c r="LU110" s="26"/>
      <c r="LV110" s="26"/>
      <c r="LW110" s="26"/>
      <c r="LX110" s="26"/>
      <c r="LY110" s="26"/>
      <c r="LZ110" s="26"/>
      <c r="MA110" s="26"/>
      <c r="MB110" s="26"/>
      <c r="MC110" s="26"/>
      <c r="MD110" s="26"/>
      <c r="ME110" s="26"/>
      <c r="MF110" s="26"/>
      <c r="MG110" s="26"/>
      <c r="MH110" s="26"/>
      <c r="MI110" s="26"/>
      <c r="MJ110" s="26"/>
      <c r="MK110" s="26"/>
      <c r="ML110" s="26"/>
      <c r="MM110" s="26"/>
      <c r="MN110" s="26"/>
      <c r="MO110" s="26"/>
      <c r="MP110" s="26"/>
      <c r="MQ110" s="26"/>
      <c r="MR110" s="26"/>
      <c r="MS110" s="26"/>
      <c r="MT110" s="26"/>
      <c r="MU110" s="23"/>
      <c r="MV110" s="26"/>
      <c r="MW110" s="26"/>
      <c r="MX110" s="26"/>
      <c r="MY110" s="26"/>
      <c r="MZ110" s="26"/>
      <c r="NA110" s="26"/>
      <c r="NB110" s="26"/>
      <c r="NC110" s="26"/>
      <c r="ND110" s="26"/>
      <c r="NE110" s="26"/>
      <c r="NF110" s="26"/>
      <c r="NG110" s="26"/>
      <c r="NH110" s="26"/>
      <c r="NI110" s="26"/>
      <c r="NJ110" s="26"/>
      <c r="NK110" s="26"/>
      <c r="NL110" s="26"/>
      <c r="NM110" s="26"/>
      <c r="NN110" s="26"/>
      <c r="NO110" s="26"/>
      <c r="NP110" s="26"/>
      <c r="NQ110" s="26"/>
      <c r="NR110" s="26"/>
      <c r="NS110" s="26"/>
      <c r="NT110" s="26"/>
      <c r="NU110" s="26"/>
      <c r="NV110" s="26"/>
      <c r="NW110" s="26"/>
      <c r="NX110" s="26"/>
      <c r="NY110" s="26"/>
      <c r="NZ110" s="26"/>
      <c r="OA110" s="26"/>
      <c r="OB110" s="26"/>
      <c r="OC110" s="26"/>
      <c r="OD110" s="26"/>
      <c r="OE110" s="26"/>
      <c r="OF110" s="26"/>
      <c r="OG110" s="26"/>
      <c r="OH110" s="23"/>
      <c r="OI110" s="26"/>
      <c r="OJ110" s="26"/>
      <c r="OK110" s="26"/>
      <c r="OL110" s="26"/>
      <c r="OM110" s="26"/>
      <c r="ON110" s="26"/>
      <c r="OO110" s="26"/>
      <c r="OP110" s="26"/>
      <c r="OQ110" s="26"/>
      <c r="OR110" s="26"/>
      <c r="OS110" s="26"/>
      <c r="OT110" s="26"/>
      <c r="OU110" s="26"/>
      <c r="OV110" s="26"/>
      <c r="OW110" s="26"/>
      <c r="OX110" s="26"/>
      <c r="OY110" s="26"/>
      <c r="OZ110" s="26"/>
      <c r="PA110" s="26"/>
      <c r="PB110" s="26"/>
      <c r="PC110" s="26"/>
      <c r="PD110" s="26"/>
      <c r="PE110" s="26"/>
      <c r="PF110" s="26"/>
      <c r="PG110" s="26"/>
      <c r="PH110" s="26"/>
      <c r="PI110" s="26"/>
      <c r="PJ110" s="26"/>
      <c r="PK110" s="26"/>
      <c r="PL110" s="26"/>
      <c r="PM110" s="26"/>
      <c r="PN110" s="26"/>
      <c r="PO110" s="26"/>
      <c r="PP110" s="26"/>
      <c r="PQ110" s="26"/>
      <c r="PR110" s="26"/>
      <c r="PS110" s="26"/>
      <c r="PT110" s="26"/>
    </row>
    <row r="111" spans="1:436" ht="21.95" customHeight="1" thickBot="1" x14ac:dyDescent="0.3">
      <c r="A111" s="87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8"/>
      <c r="GC111" s="88"/>
      <c r="GD111" s="88"/>
      <c r="GE111" s="88"/>
      <c r="GF111" s="88"/>
      <c r="GG111" s="88"/>
      <c r="GH111" s="88"/>
      <c r="GI111" s="88"/>
      <c r="GJ111" s="88"/>
      <c r="GK111" s="88"/>
      <c r="GL111" s="88"/>
      <c r="GM111" s="88"/>
      <c r="GN111" s="88"/>
      <c r="GO111" s="88"/>
      <c r="GP111" s="88"/>
      <c r="GQ111" s="88"/>
      <c r="GR111" s="88"/>
      <c r="GS111" s="88"/>
      <c r="GT111" s="88"/>
      <c r="GU111" s="88"/>
      <c r="GV111" s="88"/>
      <c r="GW111" s="88"/>
      <c r="GX111" s="88"/>
      <c r="GY111" s="88"/>
      <c r="GZ111" s="88"/>
      <c r="HA111" s="88"/>
      <c r="HB111" s="88"/>
      <c r="HC111" s="88"/>
      <c r="HD111" s="88"/>
      <c r="HE111" s="88"/>
      <c r="HF111" s="88"/>
      <c r="HG111" s="88"/>
      <c r="HH111" s="88"/>
      <c r="HI111" s="88"/>
      <c r="HJ111" s="88"/>
      <c r="HK111" s="88"/>
      <c r="HL111" s="88"/>
      <c r="HM111" s="88"/>
      <c r="HN111" s="88"/>
      <c r="HO111" s="88"/>
      <c r="HP111" s="88"/>
      <c r="HQ111" s="88"/>
      <c r="HR111" s="88"/>
      <c r="HS111" s="88"/>
      <c r="HT111" s="88"/>
      <c r="HU111" s="88"/>
      <c r="HV111" s="88"/>
      <c r="HW111" s="88"/>
      <c r="HX111" s="88"/>
      <c r="HY111" s="88"/>
      <c r="HZ111" s="88"/>
      <c r="IA111" s="88"/>
      <c r="IB111" s="88"/>
      <c r="IC111" s="88"/>
      <c r="ID111" s="88"/>
      <c r="IE111" s="88"/>
      <c r="IF111" s="88"/>
      <c r="IG111" s="88"/>
      <c r="IH111" s="88"/>
      <c r="II111" s="88"/>
      <c r="IJ111" s="88"/>
      <c r="IK111" s="88"/>
      <c r="IL111" s="88"/>
      <c r="IM111" s="88"/>
      <c r="IN111" s="88"/>
      <c r="IO111" s="88"/>
      <c r="IP111" s="88"/>
      <c r="IQ111" s="88"/>
      <c r="IR111" s="88"/>
      <c r="IS111" s="88"/>
      <c r="IT111" s="88"/>
      <c r="IU111" s="88"/>
      <c r="IV111" s="88"/>
      <c r="IW111" s="88"/>
      <c r="IX111" s="88"/>
      <c r="IY111" s="88"/>
      <c r="IZ111" s="88"/>
      <c r="JA111" s="88"/>
      <c r="JB111" s="88"/>
      <c r="JC111" s="88"/>
      <c r="JD111" s="88"/>
      <c r="JE111" s="88"/>
      <c r="JF111" s="88"/>
      <c r="JG111" s="88"/>
      <c r="JH111" s="88"/>
      <c r="JI111" s="88"/>
      <c r="JJ111" s="88"/>
      <c r="JK111" s="88"/>
      <c r="JL111" s="88"/>
      <c r="JM111" s="88"/>
      <c r="JN111" s="88"/>
      <c r="JO111" s="88"/>
      <c r="JP111" s="88"/>
      <c r="JQ111" s="88"/>
      <c r="JR111" s="88"/>
      <c r="JS111" s="88"/>
      <c r="JT111" s="88"/>
      <c r="JU111" s="88"/>
      <c r="JV111" s="88"/>
      <c r="JW111" s="88"/>
      <c r="JX111" s="88"/>
      <c r="JY111" s="88"/>
      <c r="JZ111" s="88"/>
      <c r="KA111" s="88"/>
      <c r="KB111" s="88"/>
      <c r="KC111" s="88"/>
      <c r="KD111" s="88"/>
      <c r="KE111" s="88"/>
      <c r="KF111" s="88"/>
      <c r="KG111" s="88"/>
      <c r="KH111" s="88"/>
      <c r="KI111" s="88"/>
      <c r="KJ111" s="88"/>
      <c r="KK111" s="88"/>
      <c r="KL111" s="88"/>
      <c r="KM111" s="88"/>
      <c r="KN111" s="88"/>
      <c r="KO111" s="88"/>
      <c r="KP111" s="88"/>
      <c r="KQ111" s="88"/>
      <c r="KR111" s="88"/>
      <c r="KS111" s="88"/>
      <c r="KT111" s="88"/>
      <c r="KU111" s="88"/>
      <c r="KV111" s="88"/>
      <c r="KW111" s="88"/>
      <c r="KX111" s="88"/>
      <c r="KY111" s="88"/>
      <c r="KZ111" s="88"/>
      <c r="LA111" s="88"/>
      <c r="LB111" s="88"/>
      <c r="LC111" s="88"/>
      <c r="LD111" s="88"/>
      <c r="LE111" s="88"/>
      <c r="LF111" s="88"/>
      <c r="LG111" s="88"/>
      <c r="LH111" s="88"/>
      <c r="LI111" s="88"/>
      <c r="LJ111" s="88"/>
      <c r="LK111" s="88"/>
      <c r="LL111" s="88"/>
      <c r="LM111" s="88"/>
      <c r="LN111" s="88"/>
      <c r="LO111" s="88"/>
      <c r="LP111" s="88"/>
      <c r="LQ111" s="88"/>
      <c r="LR111" s="88"/>
      <c r="LS111" s="88"/>
      <c r="LT111" s="88"/>
      <c r="LU111" s="88"/>
      <c r="LV111" s="88"/>
      <c r="LW111" s="88"/>
      <c r="LX111" s="88"/>
      <c r="LY111" s="88"/>
      <c r="LZ111" s="88"/>
      <c r="MA111" s="88"/>
      <c r="MB111" s="88"/>
      <c r="MC111" s="88"/>
      <c r="MD111" s="88"/>
      <c r="ME111" s="88"/>
      <c r="MF111" s="88"/>
      <c r="MG111" s="88"/>
      <c r="MH111" s="88"/>
      <c r="MI111" s="88"/>
      <c r="MJ111" s="88"/>
      <c r="MK111" s="88"/>
      <c r="ML111" s="88"/>
      <c r="MM111" s="88"/>
      <c r="MN111" s="88"/>
      <c r="MO111" s="88"/>
      <c r="MP111" s="88"/>
      <c r="MQ111" s="88"/>
      <c r="MR111" s="88"/>
      <c r="MS111" s="88"/>
      <c r="MT111" s="88"/>
      <c r="MU111" s="88"/>
      <c r="MV111" s="88"/>
      <c r="MW111" s="88"/>
      <c r="MX111" s="88"/>
      <c r="MY111" s="88"/>
      <c r="MZ111" s="88"/>
      <c r="NA111" s="88"/>
      <c r="NB111" s="88"/>
      <c r="NC111" s="88"/>
      <c r="ND111" s="88"/>
      <c r="NE111" s="88"/>
      <c r="NF111" s="88"/>
      <c r="NG111" s="88"/>
      <c r="NH111" s="88"/>
      <c r="NI111" s="88"/>
      <c r="NJ111" s="88"/>
      <c r="NK111" s="88"/>
      <c r="NL111" s="88"/>
      <c r="NM111" s="88"/>
      <c r="NN111" s="88"/>
      <c r="NO111" s="88"/>
      <c r="NP111" s="88"/>
      <c r="NQ111" s="88"/>
      <c r="NR111" s="88"/>
      <c r="NS111" s="88"/>
      <c r="NT111" s="88"/>
      <c r="NU111" s="88"/>
      <c r="NV111" s="88"/>
      <c r="NW111" s="88"/>
      <c r="NX111" s="88"/>
      <c r="NY111" s="88"/>
      <c r="NZ111" s="88"/>
      <c r="OA111" s="88"/>
      <c r="OB111" s="88"/>
      <c r="OC111" s="88"/>
      <c r="OD111" s="88"/>
      <c r="OE111" s="88"/>
      <c r="OF111" s="88"/>
      <c r="OG111" s="88"/>
      <c r="OH111" s="88"/>
      <c r="OI111" s="88"/>
      <c r="OJ111" s="88"/>
      <c r="OK111" s="88"/>
      <c r="OL111" s="88"/>
      <c r="OM111" s="88"/>
      <c r="ON111" s="88"/>
      <c r="OO111" s="88"/>
      <c r="OP111" s="88"/>
      <c r="OQ111" s="88"/>
      <c r="OR111" s="88"/>
      <c r="OS111" s="88"/>
      <c r="OT111" s="88"/>
      <c r="OU111" s="88"/>
      <c r="OV111" s="88"/>
      <c r="OW111" s="88"/>
      <c r="OX111" s="88"/>
      <c r="OY111" s="88"/>
      <c r="OZ111" s="88"/>
      <c r="PA111" s="88"/>
      <c r="PB111" s="88"/>
      <c r="PC111" s="88"/>
      <c r="PD111" s="88"/>
      <c r="PE111" s="88"/>
      <c r="PF111" s="88"/>
      <c r="PG111" s="88"/>
      <c r="PH111" s="88"/>
      <c r="PI111" s="88"/>
      <c r="PJ111" s="88"/>
      <c r="PK111" s="88"/>
      <c r="PL111" s="88"/>
      <c r="PM111" s="88"/>
      <c r="PN111" s="88"/>
      <c r="PO111" s="88"/>
      <c r="PP111" s="88"/>
      <c r="PQ111" s="88"/>
      <c r="PR111" s="88"/>
      <c r="PS111" s="88"/>
      <c r="PT111" s="89"/>
    </row>
    <row r="112" spans="1:436" ht="15.75" thickBot="1" x14ac:dyDescent="0.3">
      <c r="A112" s="24"/>
      <c r="B112" s="25"/>
      <c r="C112" s="25"/>
      <c r="D112" s="25"/>
      <c r="E112" s="24"/>
      <c r="F112" s="24"/>
      <c r="G112" s="24"/>
      <c r="H112" s="23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3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3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23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3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3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3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6"/>
      <c r="JT112" s="26"/>
      <c r="JU112" s="23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6"/>
      <c r="KR112" s="26"/>
      <c r="KS112" s="26"/>
      <c r="KT112" s="26"/>
      <c r="KU112" s="26"/>
      <c r="KV112" s="26"/>
      <c r="KW112" s="26"/>
      <c r="KX112" s="26"/>
      <c r="KY112" s="26"/>
      <c r="KZ112" s="26"/>
      <c r="LA112" s="26"/>
      <c r="LB112" s="26"/>
      <c r="LC112" s="26"/>
      <c r="LD112" s="26"/>
      <c r="LE112" s="26"/>
      <c r="LF112" s="26"/>
      <c r="LG112" s="26"/>
      <c r="LH112" s="23"/>
      <c r="LI112" s="26"/>
      <c r="LJ112" s="26"/>
      <c r="LK112" s="26"/>
      <c r="LL112" s="26"/>
      <c r="LM112" s="26"/>
      <c r="LN112" s="26"/>
      <c r="LO112" s="26"/>
      <c r="LP112" s="26"/>
      <c r="LQ112" s="26"/>
      <c r="LR112" s="26"/>
      <c r="LS112" s="26"/>
      <c r="LT112" s="26"/>
      <c r="LU112" s="26"/>
      <c r="LV112" s="26"/>
      <c r="LW112" s="26"/>
      <c r="LX112" s="26"/>
      <c r="LY112" s="26"/>
      <c r="LZ112" s="26"/>
      <c r="MA112" s="26"/>
      <c r="MB112" s="26"/>
      <c r="MC112" s="26"/>
      <c r="MD112" s="26"/>
      <c r="ME112" s="26"/>
      <c r="MF112" s="26"/>
      <c r="MG112" s="26"/>
      <c r="MH112" s="26"/>
      <c r="MI112" s="26"/>
      <c r="MJ112" s="26"/>
      <c r="MK112" s="26"/>
      <c r="ML112" s="26"/>
      <c r="MM112" s="26"/>
      <c r="MN112" s="26"/>
      <c r="MO112" s="26"/>
      <c r="MP112" s="26"/>
      <c r="MQ112" s="26"/>
      <c r="MR112" s="26"/>
      <c r="MS112" s="26"/>
      <c r="MT112" s="26"/>
      <c r="MU112" s="23"/>
      <c r="MV112" s="26"/>
      <c r="MW112" s="26"/>
      <c r="MX112" s="26"/>
      <c r="MY112" s="26"/>
      <c r="MZ112" s="26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6"/>
      <c r="OG112" s="26"/>
      <c r="OH112" s="23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  <c r="PS112" s="26"/>
      <c r="PT112" s="26"/>
    </row>
    <row r="113" spans="1:436" ht="15.75" thickBot="1" x14ac:dyDescent="0.3">
      <c r="A113" s="24"/>
      <c r="B113" s="25"/>
      <c r="C113" s="25"/>
      <c r="D113" s="25"/>
      <c r="E113" s="24"/>
      <c r="F113" s="24"/>
      <c r="G113" s="24"/>
      <c r="H113" s="23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3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3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23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3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3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3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6"/>
      <c r="JO113" s="26"/>
      <c r="JP113" s="26"/>
      <c r="JQ113" s="26"/>
      <c r="JR113" s="26"/>
      <c r="JS113" s="26"/>
      <c r="JT113" s="26"/>
      <c r="JU113" s="23"/>
      <c r="JV113" s="26"/>
      <c r="JW113" s="26"/>
      <c r="JX113" s="26"/>
      <c r="JY113" s="26"/>
      <c r="JZ113" s="26"/>
      <c r="KA113" s="26"/>
      <c r="KB113" s="26"/>
      <c r="KC113" s="26"/>
      <c r="KD113" s="26"/>
      <c r="KE113" s="26"/>
      <c r="KF113" s="26"/>
      <c r="KG113" s="26"/>
      <c r="KH113" s="26"/>
      <c r="KI113" s="26"/>
      <c r="KJ113" s="26"/>
      <c r="KK113" s="26"/>
      <c r="KL113" s="26"/>
      <c r="KM113" s="26"/>
      <c r="KN113" s="26"/>
      <c r="KO113" s="26"/>
      <c r="KP113" s="26"/>
      <c r="KQ113" s="26"/>
      <c r="KR113" s="26"/>
      <c r="KS113" s="26"/>
      <c r="KT113" s="26"/>
      <c r="KU113" s="26"/>
      <c r="KV113" s="26"/>
      <c r="KW113" s="26"/>
      <c r="KX113" s="26"/>
      <c r="KY113" s="26"/>
      <c r="KZ113" s="26"/>
      <c r="LA113" s="26"/>
      <c r="LB113" s="26"/>
      <c r="LC113" s="26"/>
      <c r="LD113" s="26"/>
      <c r="LE113" s="26"/>
      <c r="LF113" s="26"/>
      <c r="LG113" s="26"/>
      <c r="LH113" s="23"/>
      <c r="LI113" s="26"/>
      <c r="LJ113" s="26"/>
      <c r="LK113" s="26"/>
      <c r="LL113" s="26"/>
      <c r="LM113" s="26"/>
      <c r="LN113" s="26"/>
      <c r="LO113" s="26"/>
      <c r="LP113" s="26"/>
      <c r="LQ113" s="26"/>
      <c r="LR113" s="26"/>
      <c r="LS113" s="26"/>
      <c r="LT113" s="26"/>
      <c r="LU113" s="26"/>
      <c r="LV113" s="26"/>
      <c r="LW113" s="26"/>
      <c r="LX113" s="26"/>
      <c r="LY113" s="26"/>
      <c r="LZ113" s="26"/>
      <c r="MA113" s="26"/>
      <c r="MB113" s="26"/>
      <c r="MC113" s="26"/>
      <c r="MD113" s="26"/>
      <c r="ME113" s="26"/>
      <c r="MF113" s="26"/>
      <c r="MG113" s="26"/>
      <c r="MH113" s="26"/>
      <c r="MI113" s="26"/>
      <c r="MJ113" s="26"/>
      <c r="MK113" s="26"/>
      <c r="ML113" s="26"/>
      <c r="MM113" s="26"/>
      <c r="MN113" s="26"/>
      <c r="MO113" s="26"/>
      <c r="MP113" s="26"/>
      <c r="MQ113" s="26"/>
      <c r="MR113" s="26"/>
      <c r="MS113" s="26"/>
      <c r="MT113" s="26"/>
      <c r="MU113" s="23"/>
      <c r="MV113" s="26"/>
      <c r="MW113" s="26"/>
      <c r="MX113" s="26"/>
      <c r="MY113" s="26"/>
      <c r="MZ113" s="26"/>
      <c r="NA113" s="26"/>
      <c r="NB113" s="26"/>
      <c r="NC113" s="26"/>
      <c r="ND113" s="26"/>
      <c r="NE113" s="26"/>
      <c r="NF113" s="26"/>
      <c r="NG113" s="26"/>
      <c r="NH113" s="26"/>
      <c r="NI113" s="26"/>
      <c r="NJ113" s="26"/>
      <c r="NK113" s="26"/>
      <c r="NL113" s="26"/>
      <c r="NM113" s="26"/>
      <c r="NN113" s="26"/>
      <c r="NO113" s="26"/>
      <c r="NP113" s="26"/>
      <c r="NQ113" s="26"/>
      <c r="NR113" s="26"/>
      <c r="NS113" s="26"/>
      <c r="NT113" s="26"/>
      <c r="NU113" s="26"/>
      <c r="NV113" s="26"/>
      <c r="NW113" s="26"/>
      <c r="NX113" s="26"/>
      <c r="NY113" s="26"/>
      <c r="NZ113" s="26"/>
      <c r="OA113" s="26"/>
      <c r="OB113" s="26"/>
      <c r="OC113" s="26"/>
      <c r="OD113" s="26"/>
      <c r="OE113" s="26"/>
      <c r="OF113" s="26"/>
      <c r="OG113" s="26"/>
      <c r="OH113" s="23"/>
      <c r="OI113" s="26"/>
      <c r="OJ113" s="26"/>
      <c r="OK113" s="26"/>
      <c r="OL113" s="26"/>
      <c r="OM113" s="26"/>
      <c r="ON113" s="26"/>
      <c r="OO113" s="26"/>
      <c r="OP113" s="26"/>
      <c r="OQ113" s="26"/>
      <c r="OR113" s="26"/>
      <c r="OS113" s="26"/>
      <c r="OT113" s="26"/>
      <c r="OU113" s="26"/>
      <c r="OV113" s="26"/>
      <c r="OW113" s="26"/>
      <c r="OX113" s="26"/>
      <c r="OY113" s="26"/>
      <c r="OZ113" s="26"/>
      <c r="PA113" s="26"/>
      <c r="PB113" s="26"/>
      <c r="PC113" s="26"/>
      <c r="PD113" s="26"/>
      <c r="PE113" s="26"/>
      <c r="PF113" s="26"/>
      <c r="PG113" s="26"/>
      <c r="PH113" s="26"/>
      <c r="PI113" s="26"/>
      <c r="PJ113" s="26"/>
      <c r="PK113" s="26"/>
      <c r="PL113" s="26"/>
      <c r="PM113" s="26"/>
      <c r="PN113" s="26"/>
      <c r="PO113" s="26"/>
      <c r="PP113" s="26"/>
      <c r="PQ113" s="26"/>
      <c r="PR113" s="26"/>
      <c r="PS113" s="26"/>
      <c r="PT113" s="26"/>
    </row>
    <row r="114" spans="1:436" ht="15.75" thickBot="1" x14ac:dyDescent="0.3">
      <c r="A114" s="24"/>
      <c r="B114" s="25"/>
      <c r="C114" s="25"/>
      <c r="D114" s="25"/>
      <c r="E114" s="24"/>
      <c r="F114" s="24"/>
      <c r="G114" s="24"/>
      <c r="H114" s="23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3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3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23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3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3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3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6"/>
      <c r="JO114" s="26"/>
      <c r="JP114" s="26"/>
      <c r="JQ114" s="26"/>
      <c r="JR114" s="26"/>
      <c r="JS114" s="26"/>
      <c r="JT114" s="26"/>
      <c r="JU114" s="23"/>
      <c r="JV114" s="26"/>
      <c r="JW114" s="26"/>
      <c r="JX114" s="26"/>
      <c r="JY114" s="26"/>
      <c r="JZ114" s="26"/>
      <c r="KA114" s="26"/>
      <c r="KB114" s="26"/>
      <c r="KC114" s="26"/>
      <c r="KD114" s="26"/>
      <c r="KE114" s="26"/>
      <c r="KF114" s="26"/>
      <c r="KG114" s="26"/>
      <c r="KH114" s="26"/>
      <c r="KI114" s="26"/>
      <c r="KJ114" s="26"/>
      <c r="KK114" s="26"/>
      <c r="KL114" s="26"/>
      <c r="KM114" s="26"/>
      <c r="KN114" s="26"/>
      <c r="KO114" s="26"/>
      <c r="KP114" s="26"/>
      <c r="KQ114" s="26"/>
      <c r="KR114" s="26"/>
      <c r="KS114" s="26"/>
      <c r="KT114" s="26"/>
      <c r="KU114" s="26"/>
      <c r="KV114" s="26"/>
      <c r="KW114" s="26"/>
      <c r="KX114" s="26"/>
      <c r="KY114" s="26"/>
      <c r="KZ114" s="26"/>
      <c r="LA114" s="26"/>
      <c r="LB114" s="26"/>
      <c r="LC114" s="26"/>
      <c r="LD114" s="26"/>
      <c r="LE114" s="26"/>
      <c r="LF114" s="26"/>
      <c r="LG114" s="26"/>
      <c r="LH114" s="23"/>
      <c r="LI114" s="26"/>
      <c r="LJ114" s="26"/>
      <c r="LK114" s="26"/>
      <c r="LL114" s="26"/>
      <c r="LM114" s="26"/>
      <c r="LN114" s="26"/>
      <c r="LO114" s="26"/>
      <c r="LP114" s="26"/>
      <c r="LQ114" s="26"/>
      <c r="LR114" s="26"/>
      <c r="LS114" s="26"/>
      <c r="LT114" s="26"/>
      <c r="LU114" s="26"/>
      <c r="LV114" s="26"/>
      <c r="LW114" s="26"/>
      <c r="LX114" s="26"/>
      <c r="LY114" s="26"/>
      <c r="LZ114" s="26"/>
      <c r="MA114" s="26"/>
      <c r="MB114" s="26"/>
      <c r="MC114" s="26"/>
      <c r="MD114" s="26"/>
      <c r="ME114" s="26"/>
      <c r="MF114" s="26"/>
      <c r="MG114" s="26"/>
      <c r="MH114" s="26"/>
      <c r="MI114" s="26"/>
      <c r="MJ114" s="26"/>
      <c r="MK114" s="26"/>
      <c r="ML114" s="26"/>
      <c r="MM114" s="26"/>
      <c r="MN114" s="26"/>
      <c r="MO114" s="26"/>
      <c r="MP114" s="26"/>
      <c r="MQ114" s="26"/>
      <c r="MR114" s="26"/>
      <c r="MS114" s="26"/>
      <c r="MT114" s="26"/>
      <c r="MU114" s="23"/>
      <c r="MV114" s="26"/>
      <c r="MW114" s="26"/>
      <c r="MX114" s="26"/>
      <c r="MY114" s="26"/>
      <c r="MZ114" s="26"/>
      <c r="NA114" s="26"/>
      <c r="NB114" s="26"/>
      <c r="NC114" s="26"/>
      <c r="ND114" s="26"/>
      <c r="NE114" s="26"/>
      <c r="NF114" s="26"/>
      <c r="NG114" s="26"/>
      <c r="NH114" s="26"/>
      <c r="NI114" s="26"/>
      <c r="NJ114" s="26"/>
      <c r="NK114" s="26"/>
      <c r="NL114" s="26"/>
      <c r="NM114" s="26"/>
      <c r="NN114" s="26"/>
      <c r="NO114" s="26"/>
      <c r="NP114" s="26"/>
      <c r="NQ114" s="26"/>
      <c r="NR114" s="26"/>
      <c r="NS114" s="26"/>
      <c r="NT114" s="26"/>
      <c r="NU114" s="26"/>
      <c r="NV114" s="26"/>
      <c r="NW114" s="26"/>
      <c r="NX114" s="26"/>
      <c r="NY114" s="26"/>
      <c r="NZ114" s="26"/>
      <c r="OA114" s="26"/>
      <c r="OB114" s="26"/>
      <c r="OC114" s="26"/>
      <c r="OD114" s="26"/>
      <c r="OE114" s="26"/>
      <c r="OF114" s="26"/>
      <c r="OG114" s="26"/>
      <c r="OH114" s="23"/>
      <c r="OI114" s="26"/>
      <c r="OJ114" s="26"/>
      <c r="OK114" s="26"/>
      <c r="OL114" s="26"/>
      <c r="OM114" s="26"/>
      <c r="ON114" s="26"/>
      <c r="OO114" s="26"/>
      <c r="OP114" s="26"/>
      <c r="OQ114" s="26"/>
      <c r="OR114" s="26"/>
      <c r="OS114" s="26"/>
      <c r="OT114" s="26"/>
      <c r="OU114" s="26"/>
      <c r="OV114" s="26"/>
      <c r="OW114" s="26"/>
      <c r="OX114" s="26"/>
      <c r="OY114" s="26"/>
      <c r="OZ114" s="26"/>
      <c r="PA114" s="26"/>
      <c r="PB114" s="26"/>
      <c r="PC114" s="26"/>
      <c r="PD114" s="26"/>
      <c r="PE114" s="26"/>
      <c r="PF114" s="26"/>
      <c r="PG114" s="26"/>
      <c r="PH114" s="26"/>
      <c r="PI114" s="26"/>
      <c r="PJ114" s="26"/>
      <c r="PK114" s="26"/>
      <c r="PL114" s="26"/>
      <c r="PM114" s="26"/>
      <c r="PN114" s="26"/>
      <c r="PO114" s="26"/>
      <c r="PP114" s="26"/>
      <c r="PQ114" s="26"/>
      <c r="PR114" s="26"/>
      <c r="PS114" s="26"/>
      <c r="PT114" s="26"/>
    </row>
    <row r="115" spans="1:436" ht="15.75" thickBot="1" x14ac:dyDescent="0.3">
      <c r="A115" s="24"/>
      <c r="B115" s="25"/>
      <c r="C115" s="25"/>
      <c r="D115" s="25"/>
      <c r="E115" s="24"/>
      <c r="F115" s="24"/>
      <c r="G115" s="24"/>
      <c r="H115" s="23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3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3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23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3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3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3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  <c r="JM115" s="26"/>
      <c r="JN115" s="26"/>
      <c r="JO115" s="26"/>
      <c r="JP115" s="26"/>
      <c r="JQ115" s="26"/>
      <c r="JR115" s="26"/>
      <c r="JS115" s="26"/>
      <c r="JT115" s="26"/>
      <c r="JU115" s="23"/>
      <c r="JV115" s="26"/>
      <c r="JW115" s="26"/>
      <c r="JX115" s="26"/>
      <c r="JY115" s="26"/>
      <c r="JZ115" s="26"/>
      <c r="KA115" s="26"/>
      <c r="KB115" s="26"/>
      <c r="KC115" s="26"/>
      <c r="KD115" s="26"/>
      <c r="KE115" s="26"/>
      <c r="KF115" s="26"/>
      <c r="KG115" s="26"/>
      <c r="KH115" s="26"/>
      <c r="KI115" s="26"/>
      <c r="KJ115" s="26"/>
      <c r="KK115" s="26"/>
      <c r="KL115" s="26"/>
      <c r="KM115" s="26"/>
      <c r="KN115" s="26"/>
      <c r="KO115" s="26"/>
      <c r="KP115" s="26"/>
      <c r="KQ115" s="26"/>
      <c r="KR115" s="26"/>
      <c r="KS115" s="26"/>
      <c r="KT115" s="26"/>
      <c r="KU115" s="26"/>
      <c r="KV115" s="26"/>
      <c r="KW115" s="26"/>
      <c r="KX115" s="26"/>
      <c r="KY115" s="26"/>
      <c r="KZ115" s="26"/>
      <c r="LA115" s="26"/>
      <c r="LB115" s="26"/>
      <c r="LC115" s="26"/>
      <c r="LD115" s="26"/>
      <c r="LE115" s="26"/>
      <c r="LF115" s="26"/>
      <c r="LG115" s="26"/>
      <c r="LH115" s="23"/>
      <c r="LI115" s="26"/>
      <c r="LJ115" s="26"/>
      <c r="LK115" s="26"/>
      <c r="LL115" s="26"/>
      <c r="LM115" s="26"/>
      <c r="LN115" s="26"/>
      <c r="LO115" s="26"/>
      <c r="LP115" s="26"/>
      <c r="LQ115" s="26"/>
      <c r="LR115" s="26"/>
      <c r="LS115" s="26"/>
      <c r="LT115" s="26"/>
      <c r="LU115" s="26"/>
      <c r="LV115" s="26"/>
      <c r="LW115" s="26"/>
      <c r="LX115" s="26"/>
      <c r="LY115" s="26"/>
      <c r="LZ115" s="26"/>
      <c r="MA115" s="26"/>
      <c r="MB115" s="26"/>
      <c r="MC115" s="26"/>
      <c r="MD115" s="26"/>
      <c r="ME115" s="26"/>
      <c r="MF115" s="26"/>
      <c r="MG115" s="26"/>
      <c r="MH115" s="26"/>
      <c r="MI115" s="26"/>
      <c r="MJ115" s="26"/>
      <c r="MK115" s="26"/>
      <c r="ML115" s="26"/>
      <c r="MM115" s="26"/>
      <c r="MN115" s="26"/>
      <c r="MO115" s="26"/>
      <c r="MP115" s="26"/>
      <c r="MQ115" s="26"/>
      <c r="MR115" s="26"/>
      <c r="MS115" s="26"/>
      <c r="MT115" s="26"/>
      <c r="MU115" s="23"/>
      <c r="MV115" s="26"/>
      <c r="MW115" s="26"/>
      <c r="MX115" s="26"/>
      <c r="MY115" s="26"/>
      <c r="MZ115" s="26"/>
      <c r="NA115" s="26"/>
      <c r="NB115" s="26"/>
      <c r="NC115" s="26"/>
      <c r="ND115" s="26"/>
      <c r="NE115" s="26"/>
      <c r="NF115" s="26"/>
      <c r="NG115" s="26"/>
      <c r="NH115" s="26"/>
      <c r="NI115" s="26"/>
      <c r="NJ115" s="26"/>
      <c r="NK115" s="26"/>
      <c r="NL115" s="26"/>
      <c r="NM115" s="26"/>
      <c r="NN115" s="26"/>
      <c r="NO115" s="26"/>
      <c r="NP115" s="26"/>
      <c r="NQ115" s="26"/>
      <c r="NR115" s="26"/>
      <c r="NS115" s="26"/>
      <c r="NT115" s="26"/>
      <c r="NU115" s="26"/>
      <c r="NV115" s="26"/>
      <c r="NW115" s="26"/>
      <c r="NX115" s="26"/>
      <c r="NY115" s="26"/>
      <c r="NZ115" s="26"/>
      <c r="OA115" s="26"/>
      <c r="OB115" s="26"/>
      <c r="OC115" s="26"/>
      <c r="OD115" s="26"/>
      <c r="OE115" s="26"/>
      <c r="OF115" s="26"/>
      <c r="OG115" s="26"/>
      <c r="OH115" s="23"/>
      <c r="OI115" s="26"/>
      <c r="OJ115" s="26"/>
      <c r="OK115" s="26"/>
      <c r="OL115" s="26"/>
      <c r="OM115" s="26"/>
      <c r="ON115" s="26"/>
      <c r="OO115" s="26"/>
      <c r="OP115" s="26"/>
      <c r="OQ115" s="26"/>
      <c r="OR115" s="26"/>
      <c r="OS115" s="26"/>
      <c r="OT115" s="26"/>
      <c r="OU115" s="26"/>
      <c r="OV115" s="26"/>
      <c r="OW115" s="26"/>
      <c r="OX115" s="26"/>
      <c r="OY115" s="26"/>
      <c r="OZ115" s="26"/>
      <c r="PA115" s="26"/>
      <c r="PB115" s="26"/>
      <c r="PC115" s="26"/>
      <c r="PD115" s="26"/>
      <c r="PE115" s="26"/>
      <c r="PF115" s="26"/>
      <c r="PG115" s="26"/>
      <c r="PH115" s="26"/>
      <c r="PI115" s="26"/>
      <c r="PJ115" s="26"/>
      <c r="PK115" s="26"/>
      <c r="PL115" s="26"/>
      <c r="PM115" s="26"/>
      <c r="PN115" s="26"/>
      <c r="PO115" s="26"/>
      <c r="PP115" s="26"/>
      <c r="PQ115" s="26"/>
      <c r="PR115" s="26"/>
      <c r="PS115" s="26"/>
      <c r="PT115" s="26"/>
    </row>
    <row r="116" spans="1:436" ht="15.75" thickBot="1" x14ac:dyDescent="0.3">
      <c r="A116" s="24"/>
      <c r="B116" s="25"/>
      <c r="C116" s="25"/>
      <c r="D116" s="25"/>
      <c r="E116" s="24"/>
      <c r="F116" s="24"/>
      <c r="G116" s="24"/>
      <c r="H116" s="23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3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3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23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3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3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3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6"/>
      <c r="JT116" s="26"/>
      <c r="JU116" s="23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  <c r="KO116" s="26"/>
      <c r="KP116" s="26"/>
      <c r="KQ116" s="26"/>
      <c r="KR116" s="26"/>
      <c r="KS116" s="26"/>
      <c r="KT116" s="26"/>
      <c r="KU116" s="26"/>
      <c r="KV116" s="26"/>
      <c r="KW116" s="26"/>
      <c r="KX116" s="26"/>
      <c r="KY116" s="26"/>
      <c r="KZ116" s="26"/>
      <c r="LA116" s="26"/>
      <c r="LB116" s="26"/>
      <c r="LC116" s="26"/>
      <c r="LD116" s="26"/>
      <c r="LE116" s="26"/>
      <c r="LF116" s="26"/>
      <c r="LG116" s="26"/>
      <c r="LH116" s="23"/>
      <c r="LI116" s="26"/>
      <c r="LJ116" s="26"/>
      <c r="LK116" s="26"/>
      <c r="LL116" s="26"/>
      <c r="LM116" s="26"/>
      <c r="LN116" s="26"/>
      <c r="LO116" s="26"/>
      <c r="LP116" s="26"/>
      <c r="LQ116" s="26"/>
      <c r="LR116" s="26"/>
      <c r="LS116" s="26"/>
      <c r="LT116" s="26"/>
      <c r="LU116" s="26"/>
      <c r="LV116" s="26"/>
      <c r="LW116" s="26"/>
      <c r="LX116" s="26"/>
      <c r="LY116" s="26"/>
      <c r="LZ116" s="26"/>
      <c r="MA116" s="26"/>
      <c r="MB116" s="26"/>
      <c r="MC116" s="26"/>
      <c r="MD116" s="26"/>
      <c r="ME116" s="26"/>
      <c r="MF116" s="26"/>
      <c r="MG116" s="26"/>
      <c r="MH116" s="26"/>
      <c r="MI116" s="26"/>
      <c r="MJ116" s="26"/>
      <c r="MK116" s="26"/>
      <c r="ML116" s="26"/>
      <c r="MM116" s="26"/>
      <c r="MN116" s="26"/>
      <c r="MO116" s="26"/>
      <c r="MP116" s="26"/>
      <c r="MQ116" s="26"/>
      <c r="MR116" s="26"/>
      <c r="MS116" s="26"/>
      <c r="MT116" s="26"/>
      <c r="MU116" s="23"/>
      <c r="MV116" s="26"/>
      <c r="MW116" s="26"/>
      <c r="MX116" s="26"/>
      <c r="MY116" s="26"/>
      <c r="MZ116" s="26"/>
      <c r="NA116" s="26"/>
      <c r="NB116" s="26"/>
      <c r="NC116" s="26"/>
      <c r="ND116" s="26"/>
      <c r="NE116" s="26"/>
      <c r="NF116" s="26"/>
      <c r="NG116" s="26"/>
      <c r="NH116" s="26"/>
      <c r="NI116" s="26"/>
      <c r="NJ116" s="26"/>
      <c r="NK116" s="26"/>
      <c r="NL116" s="26"/>
      <c r="NM116" s="26"/>
      <c r="NN116" s="26"/>
      <c r="NO116" s="26"/>
      <c r="NP116" s="26"/>
      <c r="NQ116" s="26"/>
      <c r="NR116" s="26"/>
      <c r="NS116" s="26"/>
      <c r="NT116" s="26"/>
      <c r="NU116" s="26"/>
      <c r="NV116" s="26"/>
      <c r="NW116" s="26"/>
      <c r="NX116" s="26"/>
      <c r="NY116" s="26"/>
      <c r="NZ116" s="26"/>
      <c r="OA116" s="26"/>
      <c r="OB116" s="26"/>
      <c r="OC116" s="26"/>
      <c r="OD116" s="26"/>
      <c r="OE116" s="26"/>
      <c r="OF116" s="26"/>
      <c r="OG116" s="26"/>
      <c r="OH116" s="23"/>
      <c r="OI116" s="26"/>
      <c r="OJ116" s="26"/>
      <c r="OK116" s="26"/>
      <c r="OL116" s="26"/>
      <c r="OM116" s="26"/>
      <c r="ON116" s="26"/>
      <c r="OO116" s="26"/>
      <c r="OP116" s="26"/>
      <c r="OQ116" s="26"/>
      <c r="OR116" s="26"/>
      <c r="OS116" s="26"/>
      <c r="OT116" s="26"/>
      <c r="OU116" s="26"/>
      <c r="OV116" s="26"/>
      <c r="OW116" s="26"/>
      <c r="OX116" s="26"/>
      <c r="OY116" s="26"/>
      <c r="OZ116" s="26"/>
      <c r="PA116" s="26"/>
      <c r="PB116" s="26"/>
      <c r="PC116" s="26"/>
      <c r="PD116" s="26"/>
      <c r="PE116" s="26"/>
      <c r="PF116" s="26"/>
      <c r="PG116" s="26"/>
      <c r="PH116" s="26"/>
      <c r="PI116" s="26"/>
      <c r="PJ116" s="26"/>
      <c r="PK116" s="26"/>
      <c r="PL116" s="26"/>
      <c r="PM116" s="26"/>
      <c r="PN116" s="26"/>
      <c r="PO116" s="26"/>
      <c r="PP116" s="26"/>
      <c r="PQ116" s="26"/>
      <c r="PR116" s="26"/>
      <c r="PS116" s="26"/>
      <c r="PT116" s="26"/>
    </row>
    <row r="117" spans="1:436" ht="15.75" thickBot="1" x14ac:dyDescent="0.3">
      <c r="A117" s="24"/>
      <c r="B117" s="25"/>
      <c r="C117" s="25"/>
      <c r="D117" s="25"/>
      <c r="E117" s="24"/>
      <c r="F117" s="24"/>
      <c r="G117" s="24"/>
      <c r="H117" s="23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3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3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23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3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3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3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6"/>
      <c r="JO117" s="26"/>
      <c r="JP117" s="26"/>
      <c r="JQ117" s="26"/>
      <c r="JR117" s="26"/>
      <c r="JS117" s="26"/>
      <c r="JT117" s="26"/>
      <c r="JU117" s="23"/>
      <c r="JV117" s="26"/>
      <c r="JW117" s="26"/>
      <c r="JX117" s="26"/>
      <c r="JY117" s="26"/>
      <c r="JZ117" s="26"/>
      <c r="KA117" s="26"/>
      <c r="KB117" s="26"/>
      <c r="KC117" s="26"/>
      <c r="KD117" s="26"/>
      <c r="KE117" s="26"/>
      <c r="KF117" s="26"/>
      <c r="KG117" s="26"/>
      <c r="KH117" s="26"/>
      <c r="KI117" s="26"/>
      <c r="KJ117" s="26"/>
      <c r="KK117" s="26"/>
      <c r="KL117" s="26"/>
      <c r="KM117" s="26"/>
      <c r="KN117" s="26"/>
      <c r="KO117" s="26"/>
      <c r="KP117" s="26"/>
      <c r="KQ117" s="26"/>
      <c r="KR117" s="26"/>
      <c r="KS117" s="26"/>
      <c r="KT117" s="26"/>
      <c r="KU117" s="26"/>
      <c r="KV117" s="26"/>
      <c r="KW117" s="26"/>
      <c r="KX117" s="26"/>
      <c r="KY117" s="26"/>
      <c r="KZ117" s="26"/>
      <c r="LA117" s="26"/>
      <c r="LB117" s="26"/>
      <c r="LC117" s="26"/>
      <c r="LD117" s="26"/>
      <c r="LE117" s="26"/>
      <c r="LF117" s="26"/>
      <c r="LG117" s="26"/>
      <c r="LH117" s="23"/>
      <c r="LI117" s="26"/>
      <c r="LJ117" s="26"/>
      <c r="LK117" s="26"/>
      <c r="LL117" s="26"/>
      <c r="LM117" s="26"/>
      <c r="LN117" s="26"/>
      <c r="LO117" s="26"/>
      <c r="LP117" s="26"/>
      <c r="LQ117" s="26"/>
      <c r="LR117" s="26"/>
      <c r="LS117" s="26"/>
      <c r="LT117" s="26"/>
      <c r="LU117" s="26"/>
      <c r="LV117" s="26"/>
      <c r="LW117" s="26"/>
      <c r="LX117" s="26"/>
      <c r="LY117" s="26"/>
      <c r="LZ117" s="26"/>
      <c r="MA117" s="26"/>
      <c r="MB117" s="26"/>
      <c r="MC117" s="26"/>
      <c r="MD117" s="26"/>
      <c r="ME117" s="26"/>
      <c r="MF117" s="26"/>
      <c r="MG117" s="26"/>
      <c r="MH117" s="26"/>
      <c r="MI117" s="26"/>
      <c r="MJ117" s="26"/>
      <c r="MK117" s="26"/>
      <c r="ML117" s="26"/>
      <c r="MM117" s="26"/>
      <c r="MN117" s="26"/>
      <c r="MO117" s="26"/>
      <c r="MP117" s="26"/>
      <c r="MQ117" s="26"/>
      <c r="MR117" s="26"/>
      <c r="MS117" s="26"/>
      <c r="MT117" s="26"/>
      <c r="MU117" s="23"/>
      <c r="MV117" s="26"/>
      <c r="MW117" s="26"/>
      <c r="MX117" s="26"/>
      <c r="MY117" s="26"/>
      <c r="MZ117" s="26"/>
      <c r="NA117" s="26"/>
      <c r="NB117" s="26"/>
      <c r="NC117" s="26"/>
      <c r="ND117" s="26"/>
      <c r="NE117" s="26"/>
      <c r="NF117" s="26"/>
      <c r="NG117" s="26"/>
      <c r="NH117" s="26"/>
      <c r="NI117" s="26"/>
      <c r="NJ117" s="26"/>
      <c r="NK117" s="26"/>
      <c r="NL117" s="26"/>
      <c r="NM117" s="26"/>
      <c r="NN117" s="26"/>
      <c r="NO117" s="26"/>
      <c r="NP117" s="26"/>
      <c r="NQ117" s="26"/>
      <c r="NR117" s="26"/>
      <c r="NS117" s="26"/>
      <c r="NT117" s="26"/>
      <c r="NU117" s="26"/>
      <c r="NV117" s="26"/>
      <c r="NW117" s="26"/>
      <c r="NX117" s="26"/>
      <c r="NY117" s="26"/>
      <c r="NZ117" s="26"/>
      <c r="OA117" s="26"/>
      <c r="OB117" s="26"/>
      <c r="OC117" s="26"/>
      <c r="OD117" s="26"/>
      <c r="OE117" s="26"/>
      <c r="OF117" s="26"/>
      <c r="OG117" s="26"/>
      <c r="OH117" s="23"/>
      <c r="OI117" s="26"/>
      <c r="OJ117" s="26"/>
      <c r="OK117" s="26"/>
      <c r="OL117" s="26"/>
      <c r="OM117" s="26"/>
      <c r="ON117" s="26"/>
      <c r="OO117" s="26"/>
      <c r="OP117" s="26"/>
      <c r="OQ117" s="26"/>
      <c r="OR117" s="26"/>
      <c r="OS117" s="26"/>
      <c r="OT117" s="26"/>
      <c r="OU117" s="26"/>
      <c r="OV117" s="26"/>
      <c r="OW117" s="26"/>
      <c r="OX117" s="26"/>
      <c r="OY117" s="26"/>
      <c r="OZ117" s="26"/>
      <c r="PA117" s="26"/>
      <c r="PB117" s="26"/>
      <c r="PC117" s="26"/>
      <c r="PD117" s="26"/>
      <c r="PE117" s="26"/>
      <c r="PF117" s="26"/>
      <c r="PG117" s="26"/>
      <c r="PH117" s="26"/>
      <c r="PI117" s="26"/>
      <c r="PJ117" s="26"/>
      <c r="PK117" s="26"/>
      <c r="PL117" s="26"/>
      <c r="PM117" s="26"/>
      <c r="PN117" s="26"/>
      <c r="PO117" s="26"/>
      <c r="PP117" s="26"/>
      <c r="PQ117" s="26"/>
      <c r="PR117" s="26"/>
      <c r="PS117" s="26"/>
      <c r="PT117" s="26"/>
    </row>
    <row r="118" spans="1:436" ht="21.95" customHeight="1" thickBot="1" x14ac:dyDescent="0.3">
      <c r="A118" s="87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  <c r="FU118" s="88"/>
      <c r="FV118" s="88"/>
      <c r="FW118" s="88"/>
      <c r="FX118" s="88"/>
      <c r="FY118" s="88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88"/>
      <c r="GT118" s="88"/>
      <c r="GU118" s="88"/>
      <c r="GV118" s="88"/>
      <c r="GW118" s="88"/>
      <c r="GX118" s="88"/>
      <c r="GY118" s="88"/>
      <c r="GZ118" s="88"/>
      <c r="HA118" s="88"/>
      <c r="HB118" s="88"/>
      <c r="HC118" s="88"/>
      <c r="HD118" s="88"/>
      <c r="HE118" s="88"/>
      <c r="HF118" s="88"/>
      <c r="HG118" s="88"/>
      <c r="HH118" s="88"/>
      <c r="HI118" s="88"/>
      <c r="HJ118" s="88"/>
      <c r="HK118" s="88"/>
      <c r="HL118" s="88"/>
      <c r="HM118" s="88"/>
      <c r="HN118" s="88"/>
      <c r="HO118" s="88"/>
      <c r="HP118" s="88"/>
      <c r="HQ118" s="88"/>
      <c r="HR118" s="88"/>
      <c r="HS118" s="88"/>
      <c r="HT118" s="88"/>
      <c r="HU118" s="88"/>
      <c r="HV118" s="88"/>
      <c r="HW118" s="88"/>
      <c r="HX118" s="88"/>
      <c r="HY118" s="88"/>
      <c r="HZ118" s="88"/>
      <c r="IA118" s="88"/>
      <c r="IB118" s="88"/>
      <c r="IC118" s="88"/>
      <c r="ID118" s="88"/>
      <c r="IE118" s="88"/>
      <c r="IF118" s="88"/>
      <c r="IG118" s="88"/>
      <c r="IH118" s="88"/>
      <c r="II118" s="88"/>
      <c r="IJ118" s="88"/>
      <c r="IK118" s="88"/>
      <c r="IL118" s="88"/>
      <c r="IM118" s="8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88"/>
      <c r="IY118" s="88"/>
      <c r="IZ118" s="88"/>
      <c r="JA118" s="88"/>
      <c r="JB118" s="88"/>
      <c r="JC118" s="88"/>
      <c r="JD118" s="88"/>
      <c r="JE118" s="88"/>
      <c r="JF118" s="88"/>
      <c r="JG118" s="88"/>
      <c r="JH118" s="88"/>
      <c r="JI118" s="88"/>
      <c r="JJ118" s="88"/>
      <c r="JK118" s="88"/>
      <c r="JL118" s="88"/>
      <c r="JM118" s="88"/>
      <c r="JN118" s="88"/>
      <c r="JO118" s="88"/>
      <c r="JP118" s="88"/>
      <c r="JQ118" s="88"/>
      <c r="JR118" s="88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88"/>
      <c r="KD118" s="88"/>
      <c r="KE118" s="88"/>
      <c r="KF118" s="88"/>
      <c r="KG118" s="88"/>
      <c r="KH118" s="88"/>
      <c r="KI118" s="88"/>
      <c r="KJ118" s="88"/>
      <c r="KK118" s="88"/>
      <c r="KL118" s="88"/>
      <c r="KM118" s="88"/>
      <c r="KN118" s="88"/>
      <c r="KO118" s="88"/>
      <c r="KP118" s="88"/>
      <c r="KQ118" s="88"/>
      <c r="KR118" s="88"/>
      <c r="KS118" s="88"/>
      <c r="KT118" s="88"/>
      <c r="KU118" s="88"/>
      <c r="KV118" s="88"/>
      <c r="KW118" s="88"/>
      <c r="KX118" s="88"/>
      <c r="KY118" s="88"/>
      <c r="KZ118" s="88"/>
      <c r="LA118" s="88"/>
      <c r="LB118" s="88"/>
      <c r="LC118" s="88"/>
      <c r="LD118" s="88"/>
      <c r="LE118" s="88"/>
      <c r="LF118" s="88"/>
      <c r="LG118" s="88"/>
      <c r="LH118" s="88"/>
      <c r="LI118" s="88"/>
      <c r="LJ118" s="88"/>
      <c r="LK118" s="88"/>
      <c r="LL118" s="88"/>
      <c r="LM118" s="88"/>
      <c r="LN118" s="88"/>
      <c r="LO118" s="88"/>
      <c r="LP118" s="88"/>
      <c r="LQ118" s="88"/>
      <c r="LR118" s="88"/>
      <c r="LS118" s="88"/>
      <c r="LT118" s="88"/>
      <c r="LU118" s="88"/>
      <c r="LV118" s="88"/>
      <c r="LW118" s="88"/>
      <c r="LX118" s="88"/>
      <c r="LY118" s="88"/>
      <c r="LZ118" s="88"/>
      <c r="MA118" s="88"/>
      <c r="MB118" s="88"/>
      <c r="MC118" s="88"/>
      <c r="MD118" s="88"/>
      <c r="ME118" s="88"/>
      <c r="MF118" s="88"/>
      <c r="MG118" s="88"/>
      <c r="MH118" s="88"/>
      <c r="MI118" s="88"/>
      <c r="MJ118" s="88"/>
      <c r="MK118" s="88"/>
      <c r="ML118" s="88"/>
      <c r="MM118" s="88"/>
      <c r="MN118" s="88"/>
      <c r="MO118" s="88"/>
      <c r="MP118" s="88"/>
      <c r="MQ118" s="88"/>
      <c r="MR118" s="88"/>
      <c r="MS118" s="88"/>
      <c r="MT118" s="88"/>
      <c r="MU118" s="88"/>
      <c r="MV118" s="88"/>
      <c r="MW118" s="88"/>
      <c r="MX118" s="88"/>
      <c r="MY118" s="88"/>
      <c r="MZ118" s="88"/>
      <c r="NA118" s="88"/>
      <c r="NB118" s="88"/>
      <c r="NC118" s="88"/>
      <c r="ND118" s="88"/>
      <c r="NE118" s="88"/>
      <c r="NF118" s="88"/>
      <c r="NG118" s="88"/>
      <c r="NH118" s="88"/>
      <c r="NI118" s="88"/>
      <c r="NJ118" s="88"/>
      <c r="NK118" s="88"/>
      <c r="NL118" s="88"/>
      <c r="NM118" s="88"/>
      <c r="NN118" s="88"/>
      <c r="NO118" s="88"/>
      <c r="NP118" s="88"/>
      <c r="NQ118" s="88"/>
      <c r="NR118" s="88"/>
      <c r="NS118" s="88"/>
      <c r="NT118" s="88"/>
      <c r="NU118" s="88"/>
      <c r="NV118" s="88"/>
      <c r="NW118" s="88"/>
      <c r="NX118" s="88"/>
      <c r="NY118" s="88"/>
      <c r="NZ118" s="88"/>
      <c r="OA118" s="88"/>
      <c r="OB118" s="88"/>
      <c r="OC118" s="88"/>
      <c r="OD118" s="88"/>
      <c r="OE118" s="88"/>
      <c r="OF118" s="88"/>
      <c r="OG118" s="88"/>
      <c r="OH118" s="88"/>
      <c r="OI118" s="88"/>
      <c r="OJ118" s="88"/>
      <c r="OK118" s="88"/>
      <c r="OL118" s="88"/>
      <c r="OM118" s="88"/>
      <c r="ON118" s="88"/>
      <c r="OO118" s="88"/>
      <c r="OP118" s="88"/>
      <c r="OQ118" s="88"/>
      <c r="OR118" s="88"/>
      <c r="OS118" s="88"/>
      <c r="OT118" s="88"/>
      <c r="OU118" s="88"/>
      <c r="OV118" s="88"/>
      <c r="OW118" s="88"/>
      <c r="OX118" s="88"/>
      <c r="OY118" s="88"/>
      <c r="OZ118" s="88"/>
      <c r="PA118" s="88"/>
      <c r="PB118" s="88"/>
      <c r="PC118" s="88"/>
      <c r="PD118" s="88"/>
      <c r="PE118" s="88"/>
      <c r="PF118" s="88"/>
      <c r="PG118" s="88"/>
      <c r="PH118" s="88"/>
      <c r="PI118" s="88"/>
      <c r="PJ118" s="88"/>
      <c r="PK118" s="88"/>
      <c r="PL118" s="88"/>
      <c r="PM118" s="88"/>
      <c r="PN118" s="88"/>
      <c r="PO118" s="88"/>
      <c r="PP118" s="88"/>
      <c r="PQ118" s="88"/>
      <c r="PR118" s="88"/>
      <c r="PS118" s="88"/>
      <c r="PT118" s="89"/>
    </row>
    <row r="119" spans="1:436" ht="15.75" thickBot="1" x14ac:dyDescent="0.3">
      <c r="A119" s="24"/>
      <c r="B119" s="25"/>
      <c r="C119" s="25"/>
      <c r="D119" s="25"/>
      <c r="E119" s="24"/>
      <c r="F119" s="24"/>
      <c r="G119" s="24"/>
      <c r="H119" s="23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3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3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23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3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3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3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6"/>
      <c r="JT119" s="26"/>
      <c r="JU119" s="23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  <c r="KO119" s="26"/>
      <c r="KP119" s="26"/>
      <c r="KQ119" s="26"/>
      <c r="KR119" s="26"/>
      <c r="KS119" s="26"/>
      <c r="KT119" s="26"/>
      <c r="KU119" s="26"/>
      <c r="KV119" s="26"/>
      <c r="KW119" s="26"/>
      <c r="KX119" s="26"/>
      <c r="KY119" s="26"/>
      <c r="KZ119" s="26"/>
      <c r="LA119" s="26"/>
      <c r="LB119" s="26"/>
      <c r="LC119" s="26"/>
      <c r="LD119" s="26"/>
      <c r="LE119" s="26"/>
      <c r="LF119" s="26"/>
      <c r="LG119" s="26"/>
      <c r="LH119" s="23"/>
      <c r="LI119" s="26"/>
      <c r="LJ119" s="26"/>
      <c r="LK119" s="26"/>
      <c r="LL119" s="26"/>
      <c r="LM119" s="26"/>
      <c r="LN119" s="26"/>
      <c r="LO119" s="26"/>
      <c r="LP119" s="26"/>
      <c r="LQ119" s="26"/>
      <c r="LR119" s="26"/>
      <c r="LS119" s="26"/>
      <c r="LT119" s="26"/>
      <c r="LU119" s="26"/>
      <c r="LV119" s="26"/>
      <c r="LW119" s="26"/>
      <c r="LX119" s="26"/>
      <c r="LY119" s="26"/>
      <c r="LZ119" s="26"/>
      <c r="MA119" s="26"/>
      <c r="MB119" s="26"/>
      <c r="MC119" s="26"/>
      <c r="MD119" s="26"/>
      <c r="ME119" s="26"/>
      <c r="MF119" s="26"/>
      <c r="MG119" s="26"/>
      <c r="MH119" s="26"/>
      <c r="MI119" s="26"/>
      <c r="MJ119" s="26"/>
      <c r="MK119" s="26"/>
      <c r="ML119" s="26"/>
      <c r="MM119" s="26"/>
      <c r="MN119" s="26"/>
      <c r="MO119" s="26"/>
      <c r="MP119" s="26"/>
      <c r="MQ119" s="26"/>
      <c r="MR119" s="26"/>
      <c r="MS119" s="26"/>
      <c r="MT119" s="26"/>
      <c r="MU119" s="23"/>
      <c r="MV119" s="26"/>
      <c r="MW119" s="26"/>
      <c r="MX119" s="26"/>
      <c r="MY119" s="26"/>
      <c r="MZ119" s="26"/>
      <c r="NA119" s="26"/>
      <c r="NB119" s="26"/>
      <c r="NC119" s="26"/>
      <c r="ND119" s="26"/>
      <c r="NE119" s="26"/>
      <c r="NF119" s="26"/>
      <c r="NG119" s="26"/>
      <c r="NH119" s="26"/>
      <c r="NI119" s="26"/>
      <c r="NJ119" s="26"/>
      <c r="NK119" s="26"/>
      <c r="NL119" s="26"/>
      <c r="NM119" s="26"/>
      <c r="NN119" s="26"/>
      <c r="NO119" s="26"/>
      <c r="NP119" s="26"/>
      <c r="NQ119" s="26"/>
      <c r="NR119" s="26"/>
      <c r="NS119" s="26"/>
      <c r="NT119" s="26"/>
      <c r="NU119" s="26"/>
      <c r="NV119" s="26"/>
      <c r="NW119" s="26"/>
      <c r="NX119" s="26"/>
      <c r="NY119" s="26"/>
      <c r="NZ119" s="26"/>
      <c r="OA119" s="26"/>
      <c r="OB119" s="26"/>
      <c r="OC119" s="26"/>
      <c r="OD119" s="26"/>
      <c r="OE119" s="26"/>
      <c r="OF119" s="26"/>
      <c r="OG119" s="26"/>
      <c r="OH119" s="23"/>
      <c r="OI119" s="26"/>
      <c r="OJ119" s="26"/>
      <c r="OK119" s="26"/>
      <c r="OL119" s="26"/>
      <c r="OM119" s="26"/>
      <c r="ON119" s="26"/>
      <c r="OO119" s="26"/>
      <c r="OP119" s="26"/>
      <c r="OQ119" s="26"/>
      <c r="OR119" s="26"/>
      <c r="OS119" s="26"/>
      <c r="OT119" s="26"/>
      <c r="OU119" s="26"/>
      <c r="OV119" s="26"/>
      <c r="OW119" s="26"/>
      <c r="OX119" s="26"/>
      <c r="OY119" s="26"/>
      <c r="OZ119" s="26"/>
      <c r="PA119" s="26"/>
      <c r="PB119" s="26"/>
      <c r="PC119" s="26"/>
      <c r="PD119" s="26"/>
      <c r="PE119" s="26"/>
      <c r="PF119" s="26"/>
      <c r="PG119" s="26"/>
      <c r="PH119" s="26"/>
      <c r="PI119" s="26"/>
      <c r="PJ119" s="26"/>
      <c r="PK119" s="26"/>
      <c r="PL119" s="26"/>
      <c r="PM119" s="26"/>
      <c r="PN119" s="26"/>
      <c r="PO119" s="26"/>
      <c r="PP119" s="26"/>
      <c r="PQ119" s="26"/>
      <c r="PR119" s="26"/>
      <c r="PS119" s="26"/>
      <c r="PT119" s="26"/>
    </row>
    <row r="120" spans="1:436" ht="15.75" thickBot="1" x14ac:dyDescent="0.3">
      <c r="A120" s="24"/>
      <c r="B120" s="25"/>
      <c r="C120" s="25"/>
      <c r="D120" s="25"/>
      <c r="E120" s="24"/>
      <c r="F120" s="24"/>
      <c r="G120" s="24"/>
      <c r="H120" s="23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3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3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23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3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3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3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6"/>
      <c r="JT120" s="26"/>
      <c r="JU120" s="23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  <c r="KO120" s="26"/>
      <c r="KP120" s="26"/>
      <c r="KQ120" s="26"/>
      <c r="KR120" s="26"/>
      <c r="KS120" s="26"/>
      <c r="KT120" s="26"/>
      <c r="KU120" s="26"/>
      <c r="KV120" s="26"/>
      <c r="KW120" s="26"/>
      <c r="KX120" s="26"/>
      <c r="KY120" s="26"/>
      <c r="KZ120" s="26"/>
      <c r="LA120" s="26"/>
      <c r="LB120" s="26"/>
      <c r="LC120" s="26"/>
      <c r="LD120" s="26"/>
      <c r="LE120" s="26"/>
      <c r="LF120" s="26"/>
      <c r="LG120" s="26"/>
      <c r="LH120" s="23"/>
      <c r="LI120" s="26"/>
      <c r="LJ120" s="26"/>
      <c r="LK120" s="26"/>
      <c r="LL120" s="26"/>
      <c r="LM120" s="26"/>
      <c r="LN120" s="26"/>
      <c r="LO120" s="26"/>
      <c r="LP120" s="26"/>
      <c r="LQ120" s="26"/>
      <c r="LR120" s="26"/>
      <c r="LS120" s="26"/>
      <c r="LT120" s="26"/>
      <c r="LU120" s="26"/>
      <c r="LV120" s="26"/>
      <c r="LW120" s="26"/>
      <c r="LX120" s="26"/>
      <c r="LY120" s="26"/>
      <c r="LZ120" s="26"/>
      <c r="MA120" s="26"/>
      <c r="MB120" s="26"/>
      <c r="MC120" s="26"/>
      <c r="MD120" s="26"/>
      <c r="ME120" s="26"/>
      <c r="MF120" s="26"/>
      <c r="MG120" s="26"/>
      <c r="MH120" s="26"/>
      <c r="MI120" s="26"/>
      <c r="MJ120" s="26"/>
      <c r="MK120" s="26"/>
      <c r="ML120" s="26"/>
      <c r="MM120" s="26"/>
      <c r="MN120" s="26"/>
      <c r="MO120" s="26"/>
      <c r="MP120" s="26"/>
      <c r="MQ120" s="26"/>
      <c r="MR120" s="26"/>
      <c r="MS120" s="26"/>
      <c r="MT120" s="26"/>
      <c r="MU120" s="23"/>
      <c r="MV120" s="26"/>
      <c r="MW120" s="26"/>
      <c r="MX120" s="26"/>
      <c r="MY120" s="26"/>
      <c r="MZ120" s="26"/>
      <c r="NA120" s="26"/>
      <c r="NB120" s="26"/>
      <c r="NC120" s="26"/>
      <c r="ND120" s="26"/>
      <c r="NE120" s="26"/>
      <c r="NF120" s="26"/>
      <c r="NG120" s="26"/>
      <c r="NH120" s="26"/>
      <c r="NI120" s="26"/>
      <c r="NJ120" s="26"/>
      <c r="NK120" s="26"/>
      <c r="NL120" s="26"/>
      <c r="NM120" s="26"/>
      <c r="NN120" s="26"/>
      <c r="NO120" s="26"/>
      <c r="NP120" s="26"/>
      <c r="NQ120" s="26"/>
      <c r="NR120" s="26"/>
      <c r="NS120" s="26"/>
      <c r="NT120" s="26"/>
      <c r="NU120" s="26"/>
      <c r="NV120" s="26"/>
      <c r="NW120" s="26"/>
      <c r="NX120" s="26"/>
      <c r="NY120" s="26"/>
      <c r="NZ120" s="26"/>
      <c r="OA120" s="26"/>
      <c r="OB120" s="26"/>
      <c r="OC120" s="26"/>
      <c r="OD120" s="26"/>
      <c r="OE120" s="26"/>
      <c r="OF120" s="26"/>
      <c r="OG120" s="26"/>
      <c r="OH120" s="23"/>
      <c r="OI120" s="26"/>
      <c r="OJ120" s="26"/>
      <c r="OK120" s="26"/>
      <c r="OL120" s="26"/>
      <c r="OM120" s="26"/>
      <c r="ON120" s="26"/>
      <c r="OO120" s="26"/>
      <c r="OP120" s="26"/>
      <c r="OQ120" s="26"/>
      <c r="OR120" s="26"/>
      <c r="OS120" s="26"/>
      <c r="OT120" s="26"/>
      <c r="OU120" s="26"/>
      <c r="OV120" s="26"/>
      <c r="OW120" s="26"/>
      <c r="OX120" s="26"/>
      <c r="OY120" s="26"/>
      <c r="OZ120" s="26"/>
      <c r="PA120" s="26"/>
      <c r="PB120" s="26"/>
      <c r="PC120" s="26"/>
      <c r="PD120" s="26"/>
      <c r="PE120" s="26"/>
      <c r="PF120" s="26"/>
      <c r="PG120" s="26"/>
      <c r="PH120" s="26"/>
      <c r="PI120" s="26"/>
      <c r="PJ120" s="26"/>
      <c r="PK120" s="26"/>
      <c r="PL120" s="26"/>
      <c r="PM120" s="26"/>
      <c r="PN120" s="26"/>
      <c r="PO120" s="26"/>
      <c r="PP120" s="26"/>
      <c r="PQ120" s="26"/>
      <c r="PR120" s="26"/>
      <c r="PS120" s="26"/>
      <c r="PT120" s="26"/>
    </row>
    <row r="121" spans="1:436" ht="15.75" thickBot="1" x14ac:dyDescent="0.3">
      <c r="A121" s="24"/>
      <c r="B121" s="25"/>
      <c r="C121" s="25"/>
      <c r="D121" s="25"/>
      <c r="E121" s="24"/>
      <c r="F121" s="24"/>
      <c r="G121" s="24"/>
      <c r="H121" s="23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3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3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23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3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3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3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6"/>
      <c r="JT121" s="26"/>
      <c r="JU121" s="23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6"/>
      <c r="KR121" s="26"/>
      <c r="KS121" s="26"/>
      <c r="KT121" s="26"/>
      <c r="KU121" s="26"/>
      <c r="KV121" s="26"/>
      <c r="KW121" s="26"/>
      <c r="KX121" s="26"/>
      <c r="KY121" s="26"/>
      <c r="KZ121" s="26"/>
      <c r="LA121" s="26"/>
      <c r="LB121" s="26"/>
      <c r="LC121" s="26"/>
      <c r="LD121" s="26"/>
      <c r="LE121" s="26"/>
      <c r="LF121" s="26"/>
      <c r="LG121" s="26"/>
      <c r="LH121" s="23"/>
      <c r="LI121" s="26"/>
      <c r="LJ121" s="26"/>
      <c r="LK121" s="26"/>
      <c r="LL121" s="26"/>
      <c r="LM121" s="26"/>
      <c r="LN121" s="26"/>
      <c r="LO121" s="26"/>
      <c r="LP121" s="26"/>
      <c r="LQ121" s="26"/>
      <c r="LR121" s="26"/>
      <c r="LS121" s="26"/>
      <c r="LT121" s="26"/>
      <c r="LU121" s="26"/>
      <c r="LV121" s="26"/>
      <c r="LW121" s="26"/>
      <c r="LX121" s="26"/>
      <c r="LY121" s="26"/>
      <c r="LZ121" s="26"/>
      <c r="MA121" s="26"/>
      <c r="MB121" s="26"/>
      <c r="MC121" s="26"/>
      <c r="MD121" s="26"/>
      <c r="ME121" s="26"/>
      <c r="MF121" s="26"/>
      <c r="MG121" s="26"/>
      <c r="MH121" s="26"/>
      <c r="MI121" s="26"/>
      <c r="MJ121" s="26"/>
      <c r="MK121" s="26"/>
      <c r="ML121" s="26"/>
      <c r="MM121" s="26"/>
      <c r="MN121" s="26"/>
      <c r="MO121" s="26"/>
      <c r="MP121" s="26"/>
      <c r="MQ121" s="26"/>
      <c r="MR121" s="26"/>
      <c r="MS121" s="26"/>
      <c r="MT121" s="26"/>
      <c r="MU121" s="23"/>
      <c r="MV121" s="26"/>
      <c r="MW121" s="26"/>
      <c r="MX121" s="26"/>
      <c r="MY121" s="26"/>
      <c r="MZ121" s="26"/>
      <c r="NA121" s="26"/>
      <c r="NB121" s="26"/>
      <c r="NC121" s="26"/>
      <c r="ND121" s="26"/>
      <c r="NE121" s="26"/>
      <c r="NF121" s="26"/>
      <c r="NG121" s="26"/>
      <c r="NH121" s="26"/>
      <c r="NI121" s="26"/>
      <c r="NJ121" s="26"/>
      <c r="NK121" s="26"/>
      <c r="NL121" s="26"/>
      <c r="NM121" s="26"/>
      <c r="NN121" s="26"/>
      <c r="NO121" s="26"/>
      <c r="NP121" s="26"/>
      <c r="NQ121" s="26"/>
      <c r="NR121" s="26"/>
      <c r="NS121" s="26"/>
      <c r="NT121" s="26"/>
      <c r="NU121" s="26"/>
      <c r="NV121" s="26"/>
      <c r="NW121" s="26"/>
      <c r="NX121" s="26"/>
      <c r="NY121" s="26"/>
      <c r="NZ121" s="26"/>
      <c r="OA121" s="26"/>
      <c r="OB121" s="26"/>
      <c r="OC121" s="26"/>
      <c r="OD121" s="26"/>
      <c r="OE121" s="26"/>
      <c r="OF121" s="26"/>
      <c r="OG121" s="26"/>
      <c r="OH121" s="23"/>
      <c r="OI121" s="26"/>
      <c r="OJ121" s="26"/>
      <c r="OK121" s="26"/>
      <c r="OL121" s="26"/>
      <c r="OM121" s="26"/>
      <c r="ON121" s="26"/>
      <c r="OO121" s="26"/>
      <c r="OP121" s="26"/>
      <c r="OQ121" s="26"/>
      <c r="OR121" s="26"/>
      <c r="OS121" s="26"/>
      <c r="OT121" s="26"/>
      <c r="OU121" s="26"/>
      <c r="OV121" s="26"/>
      <c r="OW121" s="26"/>
      <c r="OX121" s="26"/>
      <c r="OY121" s="26"/>
      <c r="OZ121" s="26"/>
      <c r="PA121" s="26"/>
      <c r="PB121" s="26"/>
      <c r="PC121" s="26"/>
      <c r="PD121" s="26"/>
      <c r="PE121" s="26"/>
      <c r="PF121" s="26"/>
      <c r="PG121" s="26"/>
      <c r="PH121" s="26"/>
      <c r="PI121" s="26"/>
      <c r="PJ121" s="26"/>
      <c r="PK121" s="26"/>
      <c r="PL121" s="26"/>
      <c r="PM121" s="26"/>
      <c r="PN121" s="26"/>
      <c r="PO121" s="26"/>
      <c r="PP121" s="26"/>
      <c r="PQ121" s="26"/>
      <c r="PR121" s="26"/>
      <c r="PS121" s="26"/>
      <c r="PT121" s="26"/>
    </row>
    <row r="122" spans="1:436" ht="15.75" thickBot="1" x14ac:dyDescent="0.3">
      <c r="A122" s="24"/>
      <c r="B122" s="25"/>
      <c r="C122" s="25"/>
      <c r="D122" s="25"/>
      <c r="E122" s="24"/>
      <c r="F122" s="24"/>
      <c r="G122" s="24"/>
      <c r="H122" s="23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3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3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82"/>
      <c r="DT122" s="82"/>
      <c r="DU122" s="23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3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3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3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6"/>
      <c r="JT122" s="26"/>
      <c r="JU122" s="23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  <c r="KO122" s="26"/>
      <c r="KP122" s="26"/>
      <c r="KQ122" s="26"/>
      <c r="KR122" s="26"/>
      <c r="KS122" s="26"/>
      <c r="KT122" s="26"/>
      <c r="KU122" s="26"/>
      <c r="KV122" s="26"/>
      <c r="KW122" s="26"/>
      <c r="KX122" s="26"/>
      <c r="KY122" s="26"/>
      <c r="KZ122" s="26"/>
      <c r="LA122" s="26"/>
      <c r="LB122" s="26"/>
      <c r="LC122" s="26"/>
      <c r="LD122" s="26"/>
      <c r="LE122" s="26"/>
      <c r="LF122" s="26"/>
      <c r="LG122" s="26"/>
      <c r="LH122" s="23"/>
      <c r="LI122" s="26"/>
      <c r="LJ122" s="26"/>
      <c r="LK122" s="26"/>
      <c r="LL122" s="26"/>
      <c r="LM122" s="26"/>
      <c r="LN122" s="26"/>
      <c r="LO122" s="26"/>
      <c r="LP122" s="26"/>
      <c r="LQ122" s="26"/>
      <c r="LR122" s="26"/>
      <c r="LS122" s="26"/>
      <c r="LT122" s="26"/>
      <c r="LU122" s="26"/>
      <c r="LV122" s="26"/>
      <c r="LW122" s="26"/>
      <c r="LX122" s="26"/>
      <c r="LY122" s="26"/>
      <c r="LZ122" s="26"/>
      <c r="MA122" s="26"/>
      <c r="MB122" s="26"/>
      <c r="MC122" s="26"/>
      <c r="MD122" s="26"/>
      <c r="ME122" s="26"/>
      <c r="MF122" s="26"/>
      <c r="MG122" s="26"/>
      <c r="MH122" s="26"/>
      <c r="MI122" s="26"/>
      <c r="MJ122" s="26"/>
      <c r="MK122" s="26"/>
      <c r="ML122" s="26"/>
      <c r="MM122" s="26"/>
      <c r="MN122" s="26"/>
      <c r="MO122" s="26"/>
      <c r="MP122" s="26"/>
      <c r="MQ122" s="26"/>
      <c r="MR122" s="26"/>
      <c r="MS122" s="26"/>
      <c r="MT122" s="26"/>
      <c r="MU122" s="23"/>
      <c r="MV122" s="26"/>
      <c r="MW122" s="26"/>
      <c r="MX122" s="26"/>
      <c r="MY122" s="26"/>
      <c r="MZ122" s="26"/>
      <c r="NA122" s="26"/>
      <c r="NB122" s="26"/>
      <c r="NC122" s="26"/>
      <c r="ND122" s="26"/>
      <c r="NE122" s="26"/>
      <c r="NF122" s="26"/>
      <c r="NG122" s="26"/>
      <c r="NH122" s="26"/>
      <c r="NI122" s="26"/>
      <c r="NJ122" s="26"/>
      <c r="NK122" s="26"/>
      <c r="NL122" s="26"/>
      <c r="NM122" s="26"/>
      <c r="NN122" s="26"/>
      <c r="NO122" s="26"/>
      <c r="NP122" s="26"/>
      <c r="NQ122" s="26"/>
      <c r="NR122" s="26"/>
      <c r="NS122" s="26"/>
      <c r="NT122" s="26"/>
      <c r="NU122" s="26"/>
      <c r="NV122" s="26"/>
      <c r="NW122" s="26"/>
      <c r="NX122" s="26"/>
      <c r="NY122" s="26"/>
      <c r="NZ122" s="26"/>
      <c r="OA122" s="26"/>
      <c r="OB122" s="26"/>
      <c r="OC122" s="26"/>
      <c r="OD122" s="26"/>
      <c r="OE122" s="26"/>
      <c r="OF122" s="26"/>
      <c r="OG122" s="26"/>
      <c r="OH122" s="23"/>
      <c r="OI122" s="26"/>
      <c r="OJ122" s="26"/>
      <c r="OK122" s="26"/>
      <c r="OL122" s="26"/>
      <c r="OM122" s="26"/>
      <c r="ON122" s="26"/>
      <c r="OO122" s="26"/>
      <c r="OP122" s="26"/>
      <c r="OQ122" s="26"/>
      <c r="OR122" s="26"/>
      <c r="OS122" s="26"/>
      <c r="OT122" s="26"/>
      <c r="OU122" s="26"/>
      <c r="OV122" s="26"/>
      <c r="OW122" s="26"/>
      <c r="OX122" s="26"/>
      <c r="OY122" s="26"/>
      <c r="OZ122" s="26"/>
      <c r="PA122" s="26"/>
      <c r="PB122" s="26"/>
      <c r="PC122" s="26"/>
      <c r="PD122" s="26"/>
      <c r="PE122" s="26"/>
      <c r="PF122" s="26"/>
      <c r="PG122" s="26"/>
      <c r="PH122" s="26"/>
      <c r="PI122" s="26"/>
      <c r="PJ122" s="26"/>
      <c r="PK122" s="26"/>
      <c r="PL122" s="26"/>
      <c r="PM122" s="26"/>
      <c r="PN122" s="26"/>
      <c r="PO122" s="26"/>
      <c r="PP122" s="26"/>
      <c r="PQ122" s="26"/>
      <c r="PR122" s="26"/>
      <c r="PS122" s="26"/>
      <c r="PT122" s="26"/>
    </row>
    <row r="123" spans="1:436" ht="15.75" thickBot="1" x14ac:dyDescent="0.3">
      <c r="A123" s="24"/>
      <c r="B123" s="25"/>
      <c r="C123" s="25"/>
      <c r="D123" s="25"/>
      <c r="E123" s="24"/>
      <c r="F123" s="24"/>
      <c r="G123" s="24"/>
      <c r="H123" s="23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3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3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82"/>
      <c r="DT123" s="82"/>
      <c r="DU123" s="23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3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3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3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6"/>
      <c r="JT123" s="26"/>
      <c r="JU123" s="23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  <c r="KO123" s="26"/>
      <c r="KP123" s="26"/>
      <c r="KQ123" s="26"/>
      <c r="KR123" s="26"/>
      <c r="KS123" s="26"/>
      <c r="KT123" s="26"/>
      <c r="KU123" s="26"/>
      <c r="KV123" s="26"/>
      <c r="KW123" s="26"/>
      <c r="KX123" s="26"/>
      <c r="KY123" s="26"/>
      <c r="KZ123" s="26"/>
      <c r="LA123" s="26"/>
      <c r="LB123" s="26"/>
      <c r="LC123" s="26"/>
      <c r="LD123" s="26"/>
      <c r="LE123" s="26"/>
      <c r="LF123" s="26"/>
      <c r="LG123" s="26"/>
      <c r="LH123" s="23"/>
      <c r="LI123" s="26"/>
      <c r="LJ123" s="26"/>
      <c r="LK123" s="26"/>
      <c r="LL123" s="26"/>
      <c r="LM123" s="26"/>
      <c r="LN123" s="26"/>
      <c r="LO123" s="26"/>
      <c r="LP123" s="26"/>
      <c r="LQ123" s="26"/>
      <c r="LR123" s="26"/>
      <c r="LS123" s="26"/>
      <c r="LT123" s="26"/>
      <c r="LU123" s="26"/>
      <c r="LV123" s="26"/>
      <c r="LW123" s="26"/>
      <c r="LX123" s="26"/>
      <c r="LY123" s="26"/>
      <c r="LZ123" s="26"/>
      <c r="MA123" s="26"/>
      <c r="MB123" s="26"/>
      <c r="MC123" s="26"/>
      <c r="MD123" s="26"/>
      <c r="ME123" s="26"/>
      <c r="MF123" s="26"/>
      <c r="MG123" s="26"/>
      <c r="MH123" s="26"/>
      <c r="MI123" s="26"/>
      <c r="MJ123" s="26"/>
      <c r="MK123" s="26"/>
      <c r="ML123" s="26"/>
      <c r="MM123" s="26"/>
      <c r="MN123" s="26"/>
      <c r="MO123" s="26"/>
      <c r="MP123" s="26"/>
      <c r="MQ123" s="26"/>
      <c r="MR123" s="26"/>
      <c r="MS123" s="26"/>
      <c r="MT123" s="26"/>
      <c r="MU123" s="23"/>
      <c r="MV123" s="26"/>
      <c r="MW123" s="26"/>
      <c r="MX123" s="26"/>
      <c r="MY123" s="26"/>
      <c r="MZ123" s="26"/>
      <c r="NA123" s="26"/>
      <c r="NB123" s="26"/>
      <c r="NC123" s="26"/>
      <c r="ND123" s="26"/>
      <c r="NE123" s="26"/>
      <c r="NF123" s="26"/>
      <c r="NG123" s="26"/>
      <c r="NH123" s="26"/>
      <c r="NI123" s="26"/>
      <c r="NJ123" s="26"/>
      <c r="NK123" s="26"/>
      <c r="NL123" s="26"/>
      <c r="NM123" s="26"/>
      <c r="NN123" s="26"/>
      <c r="NO123" s="26"/>
      <c r="NP123" s="26"/>
      <c r="NQ123" s="26"/>
      <c r="NR123" s="26"/>
      <c r="NS123" s="26"/>
      <c r="NT123" s="26"/>
      <c r="NU123" s="26"/>
      <c r="NV123" s="26"/>
      <c r="NW123" s="26"/>
      <c r="NX123" s="26"/>
      <c r="NY123" s="26"/>
      <c r="NZ123" s="26"/>
      <c r="OA123" s="26"/>
      <c r="OB123" s="26"/>
      <c r="OC123" s="26"/>
      <c r="OD123" s="26"/>
      <c r="OE123" s="26"/>
      <c r="OF123" s="26"/>
      <c r="OG123" s="26"/>
      <c r="OH123" s="23"/>
      <c r="OI123" s="26"/>
      <c r="OJ123" s="26"/>
      <c r="OK123" s="26"/>
      <c r="OL123" s="26"/>
      <c r="OM123" s="26"/>
      <c r="ON123" s="26"/>
      <c r="OO123" s="26"/>
      <c r="OP123" s="26"/>
      <c r="OQ123" s="26"/>
      <c r="OR123" s="26"/>
      <c r="OS123" s="26"/>
      <c r="OT123" s="26"/>
      <c r="OU123" s="26"/>
      <c r="OV123" s="26"/>
      <c r="OW123" s="26"/>
      <c r="OX123" s="26"/>
      <c r="OY123" s="26"/>
      <c r="OZ123" s="26"/>
      <c r="PA123" s="26"/>
      <c r="PB123" s="26"/>
      <c r="PC123" s="26"/>
      <c r="PD123" s="26"/>
      <c r="PE123" s="26"/>
      <c r="PF123" s="26"/>
      <c r="PG123" s="26"/>
      <c r="PH123" s="26"/>
      <c r="PI123" s="26"/>
      <c r="PJ123" s="26"/>
      <c r="PK123" s="26"/>
      <c r="PL123" s="26"/>
      <c r="PM123" s="26"/>
      <c r="PN123" s="26"/>
      <c r="PO123" s="26"/>
      <c r="PP123" s="26"/>
      <c r="PQ123" s="26"/>
      <c r="PR123" s="26"/>
      <c r="PS123" s="26"/>
      <c r="PT123" s="26"/>
    </row>
    <row r="124" spans="1:436" ht="15.75" thickBot="1" x14ac:dyDescent="0.3">
      <c r="A124" s="24"/>
      <c r="B124" s="25"/>
      <c r="C124" s="25"/>
      <c r="D124" s="25"/>
      <c r="E124" s="24"/>
      <c r="F124" s="24"/>
      <c r="G124" s="24"/>
      <c r="H124" s="23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3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3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23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3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3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3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6"/>
      <c r="JT124" s="26"/>
      <c r="JU124" s="23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6"/>
      <c r="KR124" s="26"/>
      <c r="KS124" s="26"/>
      <c r="KT124" s="26"/>
      <c r="KU124" s="26"/>
      <c r="KV124" s="26"/>
      <c r="KW124" s="26"/>
      <c r="KX124" s="26"/>
      <c r="KY124" s="26"/>
      <c r="KZ124" s="26"/>
      <c r="LA124" s="26"/>
      <c r="LB124" s="26"/>
      <c r="LC124" s="26"/>
      <c r="LD124" s="26"/>
      <c r="LE124" s="26"/>
      <c r="LF124" s="26"/>
      <c r="LG124" s="26"/>
      <c r="LH124" s="23"/>
      <c r="LI124" s="26"/>
      <c r="LJ124" s="26"/>
      <c r="LK124" s="26"/>
      <c r="LL124" s="26"/>
      <c r="LM124" s="26"/>
      <c r="LN124" s="26"/>
      <c r="LO124" s="26"/>
      <c r="LP124" s="26"/>
      <c r="LQ124" s="26"/>
      <c r="LR124" s="26"/>
      <c r="LS124" s="26"/>
      <c r="LT124" s="26"/>
      <c r="LU124" s="26"/>
      <c r="LV124" s="26"/>
      <c r="LW124" s="26"/>
      <c r="LX124" s="26"/>
      <c r="LY124" s="26"/>
      <c r="LZ124" s="26"/>
      <c r="MA124" s="26"/>
      <c r="MB124" s="26"/>
      <c r="MC124" s="26"/>
      <c r="MD124" s="26"/>
      <c r="ME124" s="26"/>
      <c r="MF124" s="26"/>
      <c r="MG124" s="26"/>
      <c r="MH124" s="26"/>
      <c r="MI124" s="26"/>
      <c r="MJ124" s="26"/>
      <c r="MK124" s="26"/>
      <c r="ML124" s="26"/>
      <c r="MM124" s="26"/>
      <c r="MN124" s="26"/>
      <c r="MO124" s="26"/>
      <c r="MP124" s="26"/>
      <c r="MQ124" s="26"/>
      <c r="MR124" s="26"/>
      <c r="MS124" s="26"/>
      <c r="MT124" s="26"/>
      <c r="MU124" s="23"/>
      <c r="MV124" s="26"/>
      <c r="MW124" s="26"/>
      <c r="MX124" s="26"/>
      <c r="MY124" s="26"/>
      <c r="MZ124" s="26"/>
      <c r="NA124" s="26"/>
      <c r="NB124" s="26"/>
      <c r="NC124" s="26"/>
      <c r="ND124" s="26"/>
      <c r="NE124" s="26"/>
      <c r="NF124" s="26"/>
      <c r="NG124" s="26"/>
      <c r="NH124" s="26"/>
      <c r="NI124" s="26"/>
      <c r="NJ124" s="26"/>
      <c r="NK124" s="26"/>
      <c r="NL124" s="26"/>
      <c r="NM124" s="26"/>
      <c r="NN124" s="26"/>
      <c r="NO124" s="26"/>
      <c r="NP124" s="26"/>
      <c r="NQ124" s="26"/>
      <c r="NR124" s="26"/>
      <c r="NS124" s="26"/>
      <c r="NT124" s="26"/>
      <c r="NU124" s="26"/>
      <c r="NV124" s="26"/>
      <c r="NW124" s="26"/>
      <c r="NX124" s="26"/>
      <c r="NY124" s="26"/>
      <c r="NZ124" s="26"/>
      <c r="OA124" s="26"/>
      <c r="OB124" s="26"/>
      <c r="OC124" s="26"/>
      <c r="OD124" s="26"/>
      <c r="OE124" s="26"/>
      <c r="OF124" s="26"/>
      <c r="OG124" s="26"/>
      <c r="OH124" s="23"/>
      <c r="OI124" s="26"/>
      <c r="OJ124" s="26"/>
      <c r="OK124" s="26"/>
      <c r="OL124" s="26"/>
      <c r="OM124" s="26"/>
      <c r="ON124" s="26"/>
      <c r="OO124" s="26"/>
      <c r="OP124" s="26"/>
      <c r="OQ124" s="26"/>
      <c r="OR124" s="26"/>
      <c r="OS124" s="26"/>
      <c r="OT124" s="26"/>
      <c r="OU124" s="26"/>
      <c r="OV124" s="26"/>
      <c r="OW124" s="26"/>
      <c r="OX124" s="26"/>
      <c r="OY124" s="26"/>
      <c r="OZ124" s="26"/>
      <c r="PA124" s="26"/>
      <c r="PB124" s="26"/>
      <c r="PC124" s="26"/>
      <c r="PD124" s="26"/>
      <c r="PE124" s="26"/>
      <c r="PF124" s="26"/>
      <c r="PG124" s="26"/>
      <c r="PH124" s="26"/>
      <c r="PI124" s="26"/>
      <c r="PJ124" s="26"/>
      <c r="PK124" s="26"/>
      <c r="PL124" s="26"/>
      <c r="PM124" s="26"/>
      <c r="PN124" s="26"/>
      <c r="PO124" s="26"/>
      <c r="PP124" s="26"/>
      <c r="PQ124" s="26"/>
      <c r="PR124" s="26"/>
      <c r="PS124" s="26"/>
      <c r="PT124" s="26"/>
    </row>
    <row r="125" spans="1:436" ht="15.75" thickBot="1" x14ac:dyDescent="0.3">
      <c r="A125" s="24"/>
      <c r="B125" s="25"/>
      <c r="C125" s="25"/>
      <c r="D125" s="25"/>
      <c r="E125" s="24"/>
      <c r="F125" s="24"/>
      <c r="G125" s="24"/>
      <c r="H125" s="23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3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3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82"/>
      <c r="DT125" s="82"/>
      <c r="DU125" s="23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3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3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3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6"/>
      <c r="JO125" s="26"/>
      <c r="JP125" s="26"/>
      <c r="JQ125" s="26"/>
      <c r="JR125" s="26"/>
      <c r="JS125" s="26"/>
      <c r="JT125" s="26"/>
      <c r="JU125" s="23"/>
      <c r="JV125" s="26"/>
      <c r="JW125" s="26"/>
      <c r="JX125" s="26"/>
      <c r="JY125" s="26"/>
      <c r="JZ125" s="26"/>
      <c r="KA125" s="26"/>
      <c r="KB125" s="26"/>
      <c r="KC125" s="26"/>
      <c r="KD125" s="26"/>
      <c r="KE125" s="26"/>
      <c r="KF125" s="26"/>
      <c r="KG125" s="26"/>
      <c r="KH125" s="26"/>
      <c r="KI125" s="26"/>
      <c r="KJ125" s="26"/>
      <c r="KK125" s="26"/>
      <c r="KL125" s="26"/>
      <c r="KM125" s="26"/>
      <c r="KN125" s="26"/>
      <c r="KO125" s="26"/>
      <c r="KP125" s="26"/>
      <c r="KQ125" s="26"/>
      <c r="KR125" s="26"/>
      <c r="KS125" s="26"/>
      <c r="KT125" s="26"/>
      <c r="KU125" s="26"/>
      <c r="KV125" s="26"/>
      <c r="KW125" s="26"/>
      <c r="KX125" s="26"/>
      <c r="KY125" s="26"/>
      <c r="KZ125" s="26"/>
      <c r="LA125" s="26"/>
      <c r="LB125" s="26"/>
      <c r="LC125" s="26"/>
      <c r="LD125" s="26"/>
      <c r="LE125" s="26"/>
      <c r="LF125" s="26"/>
      <c r="LG125" s="26"/>
      <c r="LH125" s="23"/>
      <c r="LI125" s="26"/>
      <c r="LJ125" s="26"/>
      <c r="LK125" s="26"/>
      <c r="LL125" s="26"/>
      <c r="LM125" s="26"/>
      <c r="LN125" s="26"/>
      <c r="LO125" s="26"/>
      <c r="LP125" s="26"/>
      <c r="LQ125" s="26"/>
      <c r="LR125" s="26"/>
      <c r="LS125" s="26"/>
      <c r="LT125" s="26"/>
      <c r="LU125" s="26"/>
      <c r="LV125" s="26"/>
      <c r="LW125" s="26"/>
      <c r="LX125" s="26"/>
      <c r="LY125" s="26"/>
      <c r="LZ125" s="26"/>
      <c r="MA125" s="26"/>
      <c r="MB125" s="26"/>
      <c r="MC125" s="26"/>
      <c r="MD125" s="26"/>
      <c r="ME125" s="26"/>
      <c r="MF125" s="26"/>
      <c r="MG125" s="26"/>
      <c r="MH125" s="26"/>
      <c r="MI125" s="26"/>
      <c r="MJ125" s="26"/>
      <c r="MK125" s="26"/>
      <c r="ML125" s="26"/>
      <c r="MM125" s="26"/>
      <c r="MN125" s="26"/>
      <c r="MO125" s="26"/>
      <c r="MP125" s="26"/>
      <c r="MQ125" s="26"/>
      <c r="MR125" s="26"/>
      <c r="MS125" s="26"/>
      <c r="MT125" s="26"/>
      <c r="MU125" s="23"/>
      <c r="MV125" s="26"/>
      <c r="MW125" s="26"/>
      <c r="MX125" s="26"/>
      <c r="MY125" s="26"/>
      <c r="MZ125" s="26"/>
      <c r="NA125" s="26"/>
      <c r="NB125" s="26"/>
      <c r="NC125" s="26"/>
      <c r="ND125" s="26"/>
      <c r="NE125" s="26"/>
      <c r="NF125" s="26"/>
      <c r="NG125" s="26"/>
      <c r="NH125" s="26"/>
      <c r="NI125" s="26"/>
      <c r="NJ125" s="26"/>
      <c r="NK125" s="26"/>
      <c r="NL125" s="26"/>
      <c r="NM125" s="26"/>
      <c r="NN125" s="26"/>
      <c r="NO125" s="26"/>
      <c r="NP125" s="26"/>
      <c r="NQ125" s="26"/>
      <c r="NR125" s="26"/>
      <c r="NS125" s="26"/>
      <c r="NT125" s="26"/>
      <c r="NU125" s="26"/>
      <c r="NV125" s="26"/>
      <c r="NW125" s="26"/>
      <c r="NX125" s="26"/>
      <c r="NY125" s="26"/>
      <c r="NZ125" s="26"/>
      <c r="OA125" s="26"/>
      <c r="OB125" s="26"/>
      <c r="OC125" s="26"/>
      <c r="OD125" s="26"/>
      <c r="OE125" s="26"/>
      <c r="OF125" s="26"/>
      <c r="OG125" s="26"/>
      <c r="OH125" s="23"/>
      <c r="OI125" s="26"/>
      <c r="OJ125" s="26"/>
      <c r="OK125" s="26"/>
      <c r="OL125" s="26"/>
      <c r="OM125" s="26"/>
      <c r="ON125" s="26"/>
      <c r="OO125" s="26"/>
      <c r="OP125" s="26"/>
      <c r="OQ125" s="26"/>
      <c r="OR125" s="26"/>
      <c r="OS125" s="26"/>
      <c r="OT125" s="26"/>
      <c r="OU125" s="26"/>
      <c r="OV125" s="26"/>
      <c r="OW125" s="26"/>
      <c r="OX125" s="26"/>
      <c r="OY125" s="26"/>
      <c r="OZ125" s="26"/>
      <c r="PA125" s="26"/>
      <c r="PB125" s="26"/>
      <c r="PC125" s="26"/>
      <c r="PD125" s="26"/>
      <c r="PE125" s="26"/>
      <c r="PF125" s="26"/>
      <c r="PG125" s="26"/>
      <c r="PH125" s="26"/>
      <c r="PI125" s="26"/>
      <c r="PJ125" s="26"/>
      <c r="PK125" s="26"/>
      <c r="PL125" s="26"/>
      <c r="PM125" s="26"/>
      <c r="PN125" s="26"/>
      <c r="PO125" s="26"/>
      <c r="PP125" s="26"/>
      <c r="PQ125" s="26"/>
      <c r="PR125" s="26"/>
      <c r="PS125" s="26"/>
      <c r="PT125" s="26"/>
    </row>
    <row r="126" spans="1:436" ht="15.75" thickBot="1" x14ac:dyDescent="0.3">
      <c r="A126" s="24"/>
      <c r="B126" s="25"/>
      <c r="C126" s="25"/>
      <c r="D126" s="25"/>
      <c r="E126" s="24"/>
      <c r="F126" s="24"/>
      <c r="G126" s="24"/>
      <c r="H126" s="23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3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3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82"/>
      <c r="DT126" s="82"/>
      <c r="DU126" s="23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3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3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3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6"/>
      <c r="JT126" s="26"/>
      <c r="JU126" s="23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  <c r="KO126" s="26"/>
      <c r="KP126" s="26"/>
      <c r="KQ126" s="26"/>
      <c r="KR126" s="26"/>
      <c r="KS126" s="26"/>
      <c r="KT126" s="26"/>
      <c r="KU126" s="26"/>
      <c r="KV126" s="26"/>
      <c r="KW126" s="26"/>
      <c r="KX126" s="26"/>
      <c r="KY126" s="26"/>
      <c r="KZ126" s="26"/>
      <c r="LA126" s="26"/>
      <c r="LB126" s="26"/>
      <c r="LC126" s="26"/>
      <c r="LD126" s="26"/>
      <c r="LE126" s="26"/>
      <c r="LF126" s="26"/>
      <c r="LG126" s="26"/>
      <c r="LH126" s="23"/>
      <c r="LI126" s="26"/>
      <c r="LJ126" s="26"/>
      <c r="LK126" s="26"/>
      <c r="LL126" s="26"/>
      <c r="LM126" s="26"/>
      <c r="LN126" s="26"/>
      <c r="LO126" s="26"/>
      <c r="LP126" s="26"/>
      <c r="LQ126" s="26"/>
      <c r="LR126" s="26"/>
      <c r="LS126" s="26"/>
      <c r="LT126" s="26"/>
      <c r="LU126" s="26"/>
      <c r="LV126" s="26"/>
      <c r="LW126" s="26"/>
      <c r="LX126" s="26"/>
      <c r="LY126" s="26"/>
      <c r="LZ126" s="26"/>
      <c r="MA126" s="26"/>
      <c r="MB126" s="26"/>
      <c r="MC126" s="26"/>
      <c r="MD126" s="26"/>
      <c r="ME126" s="26"/>
      <c r="MF126" s="26"/>
      <c r="MG126" s="26"/>
      <c r="MH126" s="26"/>
      <c r="MI126" s="26"/>
      <c r="MJ126" s="26"/>
      <c r="MK126" s="26"/>
      <c r="ML126" s="26"/>
      <c r="MM126" s="26"/>
      <c r="MN126" s="26"/>
      <c r="MO126" s="26"/>
      <c r="MP126" s="26"/>
      <c r="MQ126" s="26"/>
      <c r="MR126" s="26"/>
      <c r="MS126" s="26"/>
      <c r="MT126" s="26"/>
      <c r="MU126" s="23"/>
      <c r="MV126" s="26"/>
      <c r="MW126" s="26"/>
      <c r="MX126" s="26"/>
      <c r="MY126" s="26"/>
      <c r="MZ126" s="26"/>
      <c r="NA126" s="26"/>
      <c r="NB126" s="26"/>
      <c r="NC126" s="26"/>
      <c r="ND126" s="26"/>
      <c r="NE126" s="26"/>
      <c r="NF126" s="26"/>
      <c r="NG126" s="26"/>
      <c r="NH126" s="26"/>
      <c r="NI126" s="26"/>
      <c r="NJ126" s="26"/>
      <c r="NK126" s="26"/>
      <c r="NL126" s="26"/>
      <c r="NM126" s="26"/>
      <c r="NN126" s="26"/>
      <c r="NO126" s="26"/>
      <c r="NP126" s="26"/>
      <c r="NQ126" s="26"/>
      <c r="NR126" s="26"/>
      <c r="NS126" s="26"/>
      <c r="NT126" s="26"/>
      <c r="NU126" s="26"/>
      <c r="NV126" s="26"/>
      <c r="NW126" s="26"/>
      <c r="NX126" s="26"/>
      <c r="NY126" s="26"/>
      <c r="NZ126" s="26"/>
      <c r="OA126" s="26"/>
      <c r="OB126" s="26"/>
      <c r="OC126" s="26"/>
      <c r="OD126" s="26"/>
      <c r="OE126" s="26"/>
      <c r="OF126" s="26"/>
      <c r="OG126" s="26"/>
      <c r="OH126" s="23"/>
      <c r="OI126" s="26"/>
      <c r="OJ126" s="26"/>
      <c r="OK126" s="26"/>
      <c r="OL126" s="26"/>
      <c r="OM126" s="26"/>
      <c r="ON126" s="26"/>
      <c r="OO126" s="26"/>
      <c r="OP126" s="26"/>
      <c r="OQ126" s="26"/>
      <c r="OR126" s="26"/>
      <c r="OS126" s="26"/>
      <c r="OT126" s="26"/>
      <c r="OU126" s="26"/>
      <c r="OV126" s="26"/>
      <c r="OW126" s="26"/>
      <c r="OX126" s="26"/>
      <c r="OY126" s="26"/>
      <c r="OZ126" s="26"/>
      <c r="PA126" s="26"/>
      <c r="PB126" s="26"/>
      <c r="PC126" s="26"/>
      <c r="PD126" s="26"/>
      <c r="PE126" s="26"/>
      <c r="PF126" s="26"/>
      <c r="PG126" s="26"/>
      <c r="PH126" s="26"/>
      <c r="PI126" s="26"/>
      <c r="PJ126" s="26"/>
      <c r="PK126" s="26"/>
      <c r="PL126" s="26"/>
      <c r="PM126" s="26"/>
      <c r="PN126" s="26"/>
      <c r="PO126" s="26"/>
      <c r="PP126" s="26"/>
      <c r="PQ126" s="26"/>
      <c r="PR126" s="26"/>
      <c r="PS126" s="26"/>
      <c r="PT126" s="26"/>
    </row>
    <row r="127" spans="1:436" ht="15.75" thickBot="1" x14ac:dyDescent="0.3">
      <c r="A127" s="24"/>
      <c r="B127" s="25"/>
      <c r="C127" s="25"/>
      <c r="D127" s="25"/>
      <c r="E127" s="24"/>
      <c r="F127" s="24"/>
      <c r="G127" s="24"/>
      <c r="H127" s="23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3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3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23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3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3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3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6"/>
      <c r="JT127" s="26"/>
      <c r="JU127" s="23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  <c r="KO127" s="26"/>
      <c r="KP127" s="26"/>
      <c r="KQ127" s="26"/>
      <c r="KR127" s="26"/>
      <c r="KS127" s="26"/>
      <c r="KT127" s="26"/>
      <c r="KU127" s="26"/>
      <c r="KV127" s="26"/>
      <c r="KW127" s="26"/>
      <c r="KX127" s="26"/>
      <c r="KY127" s="26"/>
      <c r="KZ127" s="26"/>
      <c r="LA127" s="26"/>
      <c r="LB127" s="26"/>
      <c r="LC127" s="26"/>
      <c r="LD127" s="26"/>
      <c r="LE127" s="26"/>
      <c r="LF127" s="26"/>
      <c r="LG127" s="26"/>
      <c r="LH127" s="23"/>
      <c r="LI127" s="26"/>
      <c r="LJ127" s="26"/>
      <c r="LK127" s="26"/>
      <c r="LL127" s="26"/>
      <c r="LM127" s="26"/>
      <c r="LN127" s="26"/>
      <c r="LO127" s="26"/>
      <c r="LP127" s="26"/>
      <c r="LQ127" s="26"/>
      <c r="LR127" s="26"/>
      <c r="LS127" s="26"/>
      <c r="LT127" s="26"/>
      <c r="LU127" s="26"/>
      <c r="LV127" s="26"/>
      <c r="LW127" s="26"/>
      <c r="LX127" s="26"/>
      <c r="LY127" s="26"/>
      <c r="LZ127" s="26"/>
      <c r="MA127" s="26"/>
      <c r="MB127" s="26"/>
      <c r="MC127" s="26"/>
      <c r="MD127" s="26"/>
      <c r="ME127" s="26"/>
      <c r="MF127" s="26"/>
      <c r="MG127" s="26"/>
      <c r="MH127" s="26"/>
      <c r="MI127" s="26"/>
      <c r="MJ127" s="26"/>
      <c r="MK127" s="26"/>
      <c r="ML127" s="26"/>
      <c r="MM127" s="26"/>
      <c r="MN127" s="26"/>
      <c r="MO127" s="26"/>
      <c r="MP127" s="26"/>
      <c r="MQ127" s="26"/>
      <c r="MR127" s="26"/>
      <c r="MS127" s="26"/>
      <c r="MT127" s="26"/>
      <c r="MU127" s="23"/>
      <c r="MV127" s="26"/>
      <c r="MW127" s="26"/>
      <c r="MX127" s="26"/>
      <c r="MY127" s="26"/>
      <c r="MZ127" s="26"/>
      <c r="NA127" s="26"/>
      <c r="NB127" s="26"/>
      <c r="NC127" s="26"/>
      <c r="ND127" s="26"/>
      <c r="NE127" s="26"/>
      <c r="NF127" s="26"/>
      <c r="NG127" s="26"/>
      <c r="NH127" s="26"/>
      <c r="NI127" s="26"/>
      <c r="NJ127" s="26"/>
      <c r="NK127" s="26"/>
      <c r="NL127" s="26"/>
      <c r="NM127" s="26"/>
      <c r="NN127" s="26"/>
      <c r="NO127" s="26"/>
      <c r="NP127" s="26"/>
      <c r="NQ127" s="26"/>
      <c r="NR127" s="26"/>
      <c r="NS127" s="26"/>
      <c r="NT127" s="26"/>
      <c r="NU127" s="26"/>
      <c r="NV127" s="26"/>
      <c r="NW127" s="26"/>
      <c r="NX127" s="26"/>
      <c r="NY127" s="26"/>
      <c r="NZ127" s="26"/>
      <c r="OA127" s="26"/>
      <c r="OB127" s="26"/>
      <c r="OC127" s="26"/>
      <c r="OD127" s="26"/>
      <c r="OE127" s="26"/>
      <c r="OF127" s="26"/>
      <c r="OG127" s="26"/>
      <c r="OH127" s="23"/>
      <c r="OI127" s="26"/>
      <c r="OJ127" s="26"/>
      <c r="OK127" s="26"/>
      <c r="OL127" s="26"/>
      <c r="OM127" s="26"/>
      <c r="ON127" s="26"/>
      <c r="OO127" s="26"/>
      <c r="OP127" s="26"/>
      <c r="OQ127" s="26"/>
      <c r="OR127" s="26"/>
      <c r="OS127" s="26"/>
      <c r="OT127" s="26"/>
      <c r="OU127" s="26"/>
      <c r="OV127" s="26"/>
      <c r="OW127" s="26"/>
      <c r="OX127" s="26"/>
      <c r="OY127" s="26"/>
      <c r="OZ127" s="26"/>
      <c r="PA127" s="26"/>
      <c r="PB127" s="26"/>
      <c r="PC127" s="26"/>
      <c r="PD127" s="26"/>
      <c r="PE127" s="26"/>
      <c r="PF127" s="26"/>
      <c r="PG127" s="26"/>
      <c r="PH127" s="26"/>
      <c r="PI127" s="26"/>
      <c r="PJ127" s="26"/>
      <c r="PK127" s="26"/>
      <c r="PL127" s="26"/>
      <c r="PM127" s="26"/>
      <c r="PN127" s="26"/>
      <c r="PO127" s="26"/>
      <c r="PP127" s="26"/>
      <c r="PQ127" s="26"/>
      <c r="PR127" s="26"/>
      <c r="PS127" s="26"/>
      <c r="PT127" s="26"/>
    </row>
    <row r="128" spans="1:436" ht="15.75" thickBot="1" x14ac:dyDescent="0.3">
      <c r="A128" s="24"/>
      <c r="B128" s="25"/>
      <c r="C128" s="25"/>
      <c r="D128" s="25"/>
      <c r="E128" s="24"/>
      <c r="F128" s="24"/>
      <c r="G128" s="24"/>
      <c r="H128" s="23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3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3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82"/>
      <c r="DT128" s="82"/>
      <c r="DU128" s="23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3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3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3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6"/>
      <c r="JO128" s="26"/>
      <c r="JP128" s="26"/>
      <c r="JQ128" s="26"/>
      <c r="JR128" s="26"/>
      <c r="JS128" s="26"/>
      <c r="JT128" s="26"/>
      <c r="JU128" s="23"/>
      <c r="JV128" s="26"/>
      <c r="JW128" s="26"/>
      <c r="JX128" s="26"/>
      <c r="JY128" s="26"/>
      <c r="JZ128" s="26"/>
      <c r="KA128" s="26"/>
      <c r="KB128" s="26"/>
      <c r="KC128" s="26"/>
      <c r="KD128" s="26"/>
      <c r="KE128" s="26"/>
      <c r="KF128" s="26"/>
      <c r="KG128" s="26"/>
      <c r="KH128" s="26"/>
      <c r="KI128" s="26"/>
      <c r="KJ128" s="26"/>
      <c r="KK128" s="26"/>
      <c r="KL128" s="26"/>
      <c r="KM128" s="26"/>
      <c r="KN128" s="26"/>
      <c r="KO128" s="26"/>
      <c r="KP128" s="26"/>
      <c r="KQ128" s="26"/>
      <c r="KR128" s="26"/>
      <c r="KS128" s="26"/>
      <c r="KT128" s="26"/>
      <c r="KU128" s="26"/>
      <c r="KV128" s="26"/>
      <c r="KW128" s="26"/>
      <c r="KX128" s="26"/>
      <c r="KY128" s="26"/>
      <c r="KZ128" s="26"/>
      <c r="LA128" s="26"/>
      <c r="LB128" s="26"/>
      <c r="LC128" s="26"/>
      <c r="LD128" s="26"/>
      <c r="LE128" s="26"/>
      <c r="LF128" s="26"/>
      <c r="LG128" s="26"/>
      <c r="LH128" s="23"/>
      <c r="LI128" s="26"/>
      <c r="LJ128" s="26"/>
      <c r="LK128" s="26"/>
      <c r="LL128" s="26"/>
      <c r="LM128" s="26"/>
      <c r="LN128" s="26"/>
      <c r="LO128" s="26"/>
      <c r="LP128" s="26"/>
      <c r="LQ128" s="26"/>
      <c r="LR128" s="26"/>
      <c r="LS128" s="26"/>
      <c r="LT128" s="26"/>
      <c r="LU128" s="26"/>
      <c r="LV128" s="26"/>
      <c r="LW128" s="26"/>
      <c r="LX128" s="26"/>
      <c r="LY128" s="26"/>
      <c r="LZ128" s="26"/>
      <c r="MA128" s="26"/>
      <c r="MB128" s="26"/>
      <c r="MC128" s="26"/>
      <c r="MD128" s="26"/>
      <c r="ME128" s="26"/>
      <c r="MF128" s="26"/>
      <c r="MG128" s="26"/>
      <c r="MH128" s="26"/>
      <c r="MI128" s="26"/>
      <c r="MJ128" s="26"/>
      <c r="MK128" s="26"/>
      <c r="ML128" s="26"/>
      <c r="MM128" s="26"/>
      <c r="MN128" s="26"/>
      <c r="MO128" s="26"/>
      <c r="MP128" s="26"/>
      <c r="MQ128" s="26"/>
      <c r="MR128" s="26"/>
      <c r="MS128" s="26"/>
      <c r="MT128" s="26"/>
      <c r="MU128" s="23"/>
      <c r="MV128" s="26"/>
      <c r="MW128" s="26"/>
      <c r="MX128" s="26"/>
      <c r="MY128" s="26"/>
      <c r="MZ128" s="26"/>
      <c r="NA128" s="26"/>
      <c r="NB128" s="26"/>
      <c r="NC128" s="26"/>
      <c r="ND128" s="26"/>
      <c r="NE128" s="26"/>
      <c r="NF128" s="26"/>
      <c r="NG128" s="26"/>
      <c r="NH128" s="26"/>
      <c r="NI128" s="26"/>
      <c r="NJ128" s="26"/>
      <c r="NK128" s="26"/>
      <c r="NL128" s="26"/>
      <c r="NM128" s="26"/>
      <c r="NN128" s="26"/>
      <c r="NO128" s="26"/>
      <c r="NP128" s="26"/>
      <c r="NQ128" s="26"/>
      <c r="NR128" s="26"/>
      <c r="NS128" s="26"/>
      <c r="NT128" s="26"/>
      <c r="NU128" s="26"/>
      <c r="NV128" s="26"/>
      <c r="NW128" s="26"/>
      <c r="NX128" s="26"/>
      <c r="NY128" s="26"/>
      <c r="NZ128" s="26"/>
      <c r="OA128" s="26"/>
      <c r="OB128" s="26"/>
      <c r="OC128" s="26"/>
      <c r="OD128" s="26"/>
      <c r="OE128" s="26"/>
      <c r="OF128" s="26"/>
      <c r="OG128" s="26"/>
      <c r="OH128" s="23"/>
      <c r="OI128" s="26"/>
      <c r="OJ128" s="26"/>
      <c r="OK128" s="26"/>
      <c r="OL128" s="26"/>
      <c r="OM128" s="26"/>
      <c r="ON128" s="26"/>
      <c r="OO128" s="26"/>
      <c r="OP128" s="26"/>
      <c r="OQ128" s="26"/>
      <c r="OR128" s="26"/>
      <c r="OS128" s="26"/>
      <c r="OT128" s="26"/>
      <c r="OU128" s="26"/>
      <c r="OV128" s="26"/>
      <c r="OW128" s="26"/>
      <c r="OX128" s="26"/>
      <c r="OY128" s="26"/>
      <c r="OZ128" s="26"/>
      <c r="PA128" s="26"/>
      <c r="PB128" s="26"/>
      <c r="PC128" s="26"/>
      <c r="PD128" s="26"/>
      <c r="PE128" s="26"/>
      <c r="PF128" s="26"/>
      <c r="PG128" s="26"/>
      <c r="PH128" s="26"/>
      <c r="PI128" s="26"/>
      <c r="PJ128" s="26"/>
      <c r="PK128" s="26"/>
      <c r="PL128" s="26"/>
      <c r="PM128" s="26"/>
      <c r="PN128" s="26"/>
      <c r="PO128" s="26"/>
      <c r="PP128" s="26"/>
      <c r="PQ128" s="26"/>
      <c r="PR128" s="26"/>
      <c r="PS128" s="26"/>
      <c r="PT128" s="26"/>
    </row>
    <row r="129" spans="1:436" ht="15.75" thickBot="1" x14ac:dyDescent="0.3">
      <c r="A129" s="24"/>
      <c r="B129" s="25"/>
      <c r="C129" s="25"/>
      <c r="D129" s="25"/>
      <c r="E129" s="24"/>
      <c r="F129" s="24"/>
      <c r="G129" s="24"/>
      <c r="H129" s="23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3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3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23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3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3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3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6"/>
      <c r="JO129" s="26"/>
      <c r="JP129" s="26"/>
      <c r="JQ129" s="26"/>
      <c r="JR129" s="26"/>
      <c r="JS129" s="26"/>
      <c r="JT129" s="26"/>
      <c r="JU129" s="23"/>
      <c r="JV129" s="26"/>
      <c r="JW129" s="26"/>
      <c r="JX129" s="26"/>
      <c r="JY129" s="26"/>
      <c r="JZ129" s="26"/>
      <c r="KA129" s="26"/>
      <c r="KB129" s="26"/>
      <c r="KC129" s="26"/>
      <c r="KD129" s="26"/>
      <c r="KE129" s="26"/>
      <c r="KF129" s="26"/>
      <c r="KG129" s="26"/>
      <c r="KH129" s="26"/>
      <c r="KI129" s="26"/>
      <c r="KJ129" s="26"/>
      <c r="KK129" s="26"/>
      <c r="KL129" s="26"/>
      <c r="KM129" s="26"/>
      <c r="KN129" s="26"/>
      <c r="KO129" s="26"/>
      <c r="KP129" s="26"/>
      <c r="KQ129" s="26"/>
      <c r="KR129" s="26"/>
      <c r="KS129" s="26"/>
      <c r="KT129" s="26"/>
      <c r="KU129" s="26"/>
      <c r="KV129" s="26"/>
      <c r="KW129" s="26"/>
      <c r="KX129" s="26"/>
      <c r="KY129" s="26"/>
      <c r="KZ129" s="26"/>
      <c r="LA129" s="26"/>
      <c r="LB129" s="26"/>
      <c r="LC129" s="26"/>
      <c r="LD129" s="26"/>
      <c r="LE129" s="26"/>
      <c r="LF129" s="26"/>
      <c r="LG129" s="26"/>
      <c r="LH129" s="23"/>
      <c r="LI129" s="26"/>
      <c r="LJ129" s="26"/>
      <c r="LK129" s="26"/>
      <c r="LL129" s="26"/>
      <c r="LM129" s="26"/>
      <c r="LN129" s="26"/>
      <c r="LO129" s="26"/>
      <c r="LP129" s="26"/>
      <c r="LQ129" s="26"/>
      <c r="LR129" s="26"/>
      <c r="LS129" s="26"/>
      <c r="LT129" s="26"/>
      <c r="LU129" s="26"/>
      <c r="LV129" s="26"/>
      <c r="LW129" s="26"/>
      <c r="LX129" s="26"/>
      <c r="LY129" s="26"/>
      <c r="LZ129" s="26"/>
      <c r="MA129" s="26"/>
      <c r="MB129" s="26"/>
      <c r="MC129" s="26"/>
      <c r="MD129" s="26"/>
      <c r="ME129" s="26"/>
      <c r="MF129" s="26"/>
      <c r="MG129" s="26"/>
      <c r="MH129" s="26"/>
      <c r="MI129" s="26"/>
      <c r="MJ129" s="26"/>
      <c r="MK129" s="26"/>
      <c r="ML129" s="26"/>
      <c r="MM129" s="26"/>
      <c r="MN129" s="26"/>
      <c r="MO129" s="26"/>
      <c r="MP129" s="26"/>
      <c r="MQ129" s="26"/>
      <c r="MR129" s="26"/>
      <c r="MS129" s="26"/>
      <c r="MT129" s="26"/>
      <c r="MU129" s="23"/>
      <c r="MV129" s="26"/>
      <c r="MW129" s="26"/>
      <c r="MX129" s="26"/>
      <c r="MY129" s="26"/>
      <c r="MZ129" s="26"/>
      <c r="NA129" s="26"/>
      <c r="NB129" s="26"/>
      <c r="NC129" s="26"/>
      <c r="ND129" s="26"/>
      <c r="NE129" s="26"/>
      <c r="NF129" s="26"/>
      <c r="NG129" s="26"/>
      <c r="NH129" s="26"/>
      <c r="NI129" s="26"/>
      <c r="NJ129" s="26"/>
      <c r="NK129" s="26"/>
      <c r="NL129" s="26"/>
      <c r="NM129" s="26"/>
      <c r="NN129" s="26"/>
      <c r="NO129" s="26"/>
      <c r="NP129" s="26"/>
      <c r="NQ129" s="26"/>
      <c r="NR129" s="26"/>
      <c r="NS129" s="26"/>
      <c r="NT129" s="26"/>
      <c r="NU129" s="26"/>
      <c r="NV129" s="26"/>
      <c r="NW129" s="26"/>
      <c r="NX129" s="26"/>
      <c r="NY129" s="26"/>
      <c r="NZ129" s="26"/>
      <c r="OA129" s="26"/>
      <c r="OB129" s="26"/>
      <c r="OC129" s="26"/>
      <c r="OD129" s="26"/>
      <c r="OE129" s="26"/>
      <c r="OF129" s="26"/>
      <c r="OG129" s="26"/>
      <c r="OH129" s="23"/>
      <c r="OI129" s="26"/>
      <c r="OJ129" s="26"/>
      <c r="OK129" s="26"/>
      <c r="OL129" s="26"/>
      <c r="OM129" s="26"/>
      <c r="ON129" s="26"/>
      <c r="OO129" s="26"/>
      <c r="OP129" s="26"/>
      <c r="OQ129" s="26"/>
      <c r="OR129" s="26"/>
      <c r="OS129" s="26"/>
      <c r="OT129" s="26"/>
      <c r="OU129" s="26"/>
      <c r="OV129" s="26"/>
      <c r="OW129" s="26"/>
      <c r="OX129" s="26"/>
      <c r="OY129" s="26"/>
      <c r="OZ129" s="26"/>
      <c r="PA129" s="26"/>
      <c r="PB129" s="26"/>
      <c r="PC129" s="26"/>
      <c r="PD129" s="26"/>
      <c r="PE129" s="26"/>
      <c r="PF129" s="26"/>
      <c r="PG129" s="26"/>
      <c r="PH129" s="26"/>
      <c r="PI129" s="26"/>
      <c r="PJ129" s="26"/>
      <c r="PK129" s="26"/>
      <c r="PL129" s="26"/>
      <c r="PM129" s="26"/>
      <c r="PN129" s="26"/>
      <c r="PO129" s="26"/>
      <c r="PP129" s="26"/>
      <c r="PQ129" s="26"/>
      <c r="PR129" s="26"/>
      <c r="PS129" s="26"/>
      <c r="PT129" s="26"/>
    </row>
    <row r="130" spans="1:436" ht="15.75" thickBot="1" x14ac:dyDescent="0.3">
      <c r="A130" s="24"/>
      <c r="B130" s="25"/>
      <c r="C130" s="25"/>
      <c r="D130" s="25"/>
      <c r="E130" s="24"/>
      <c r="F130" s="24"/>
      <c r="G130" s="24"/>
      <c r="H130" s="23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3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3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82"/>
      <c r="DT130" s="82"/>
      <c r="DU130" s="23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3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3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3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6"/>
      <c r="JO130" s="26"/>
      <c r="JP130" s="26"/>
      <c r="JQ130" s="26"/>
      <c r="JR130" s="26"/>
      <c r="JS130" s="26"/>
      <c r="JT130" s="26"/>
      <c r="JU130" s="23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  <c r="KO130" s="26"/>
      <c r="KP130" s="26"/>
      <c r="KQ130" s="26"/>
      <c r="KR130" s="26"/>
      <c r="KS130" s="26"/>
      <c r="KT130" s="26"/>
      <c r="KU130" s="26"/>
      <c r="KV130" s="26"/>
      <c r="KW130" s="26"/>
      <c r="KX130" s="26"/>
      <c r="KY130" s="26"/>
      <c r="KZ130" s="26"/>
      <c r="LA130" s="26"/>
      <c r="LB130" s="26"/>
      <c r="LC130" s="26"/>
      <c r="LD130" s="26"/>
      <c r="LE130" s="26"/>
      <c r="LF130" s="26"/>
      <c r="LG130" s="26"/>
      <c r="LH130" s="23"/>
      <c r="LI130" s="26"/>
      <c r="LJ130" s="26"/>
      <c r="LK130" s="26"/>
      <c r="LL130" s="26"/>
      <c r="LM130" s="26"/>
      <c r="LN130" s="26"/>
      <c r="LO130" s="26"/>
      <c r="LP130" s="26"/>
      <c r="LQ130" s="26"/>
      <c r="LR130" s="26"/>
      <c r="LS130" s="26"/>
      <c r="LT130" s="26"/>
      <c r="LU130" s="26"/>
      <c r="LV130" s="26"/>
      <c r="LW130" s="26"/>
      <c r="LX130" s="26"/>
      <c r="LY130" s="26"/>
      <c r="LZ130" s="26"/>
      <c r="MA130" s="26"/>
      <c r="MB130" s="26"/>
      <c r="MC130" s="26"/>
      <c r="MD130" s="26"/>
      <c r="ME130" s="26"/>
      <c r="MF130" s="26"/>
      <c r="MG130" s="26"/>
      <c r="MH130" s="26"/>
      <c r="MI130" s="26"/>
      <c r="MJ130" s="26"/>
      <c r="MK130" s="26"/>
      <c r="ML130" s="26"/>
      <c r="MM130" s="26"/>
      <c r="MN130" s="26"/>
      <c r="MO130" s="26"/>
      <c r="MP130" s="26"/>
      <c r="MQ130" s="26"/>
      <c r="MR130" s="26"/>
      <c r="MS130" s="26"/>
      <c r="MT130" s="26"/>
      <c r="MU130" s="23"/>
      <c r="MV130" s="26"/>
      <c r="MW130" s="26"/>
      <c r="MX130" s="26"/>
      <c r="MY130" s="26"/>
      <c r="MZ130" s="26"/>
      <c r="NA130" s="26"/>
      <c r="NB130" s="26"/>
      <c r="NC130" s="26"/>
      <c r="ND130" s="26"/>
      <c r="NE130" s="26"/>
      <c r="NF130" s="26"/>
      <c r="NG130" s="26"/>
      <c r="NH130" s="26"/>
      <c r="NI130" s="26"/>
      <c r="NJ130" s="26"/>
      <c r="NK130" s="26"/>
      <c r="NL130" s="26"/>
      <c r="NM130" s="26"/>
      <c r="NN130" s="26"/>
      <c r="NO130" s="26"/>
      <c r="NP130" s="26"/>
      <c r="NQ130" s="26"/>
      <c r="NR130" s="26"/>
      <c r="NS130" s="26"/>
      <c r="NT130" s="26"/>
      <c r="NU130" s="26"/>
      <c r="NV130" s="26"/>
      <c r="NW130" s="26"/>
      <c r="NX130" s="26"/>
      <c r="NY130" s="26"/>
      <c r="NZ130" s="26"/>
      <c r="OA130" s="26"/>
      <c r="OB130" s="26"/>
      <c r="OC130" s="26"/>
      <c r="OD130" s="26"/>
      <c r="OE130" s="26"/>
      <c r="OF130" s="26"/>
      <c r="OG130" s="26"/>
      <c r="OH130" s="23"/>
      <c r="OI130" s="26"/>
      <c r="OJ130" s="26"/>
      <c r="OK130" s="26"/>
      <c r="OL130" s="26"/>
      <c r="OM130" s="26"/>
      <c r="ON130" s="26"/>
      <c r="OO130" s="26"/>
      <c r="OP130" s="26"/>
      <c r="OQ130" s="26"/>
      <c r="OR130" s="26"/>
      <c r="OS130" s="26"/>
      <c r="OT130" s="26"/>
      <c r="OU130" s="26"/>
      <c r="OV130" s="26"/>
      <c r="OW130" s="26"/>
      <c r="OX130" s="26"/>
      <c r="OY130" s="26"/>
      <c r="OZ130" s="26"/>
      <c r="PA130" s="26"/>
      <c r="PB130" s="26"/>
      <c r="PC130" s="26"/>
      <c r="PD130" s="26"/>
      <c r="PE130" s="26"/>
      <c r="PF130" s="26"/>
      <c r="PG130" s="26"/>
      <c r="PH130" s="26"/>
      <c r="PI130" s="26"/>
      <c r="PJ130" s="26"/>
      <c r="PK130" s="26"/>
      <c r="PL130" s="26"/>
      <c r="PM130" s="26"/>
      <c r="PN130" s="26"/>
      <c r="PO130" s="26"/>
      <c r="PP130" s="26"/>
      <c r="PQ130" s="26"/>
      <c r="PR130" s="26"/>
      <c r="PS130" s="26"/>
      <c r="PT130" s="26"/>
    </row>
    <row r="131" spans="1:436" ht="15.75" thickBot="1" x14ac:dyDescent="0.3">
      <c r="A131" s="24"/>
      <c r="B131" s="25"/>
      <c r="C131" s="25"/>
      <c r="D131" s="25"/>
      <c r="E131" s="24"/>
      <c r="F131" s="24"/>
      <c r="G131" s="24"/>
      <c r="H131" s="23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3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3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23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3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3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3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6"/>
      <c r="JO131" s="26"/>
      <c r="JP131" s="26"/>
      <c r="JQ131" s="26"/>
      <c r="JR131" s="26"/>
      <c r="JS131" s="26"/>
      <c r="JT131" s="26"/>
      <c r="JU131" s="23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  <c r="KO131" s="26"/>
      <c r="KP131" s="26"/>
      <c r="KQ131" s="26"/>
      <c r="KR131" s="26"/>
      <c r="KS131" s="26"/>
      <c r="KT131" s="26"/>
      <c r="KU131" s="26"/>
      <c r="KV131" s="26"/>
      <c r="KW131" s="26"/>
      <c r="KX131" s="26"/>
      <c r="KY131" s="26"/>
      <c r="KZ131" s="26"/>
      <c r="LA131" s="26"/>
      <c r="LB131" s="26"/>
      <c r="LC131" s="26"/>
      <c r="LD131" s="26"/>
      <c r="LE131" s="26"/>
      <c r="LF131" s="26"/>
      <c r="LG131" s="26"/>
      <c r="LH131" s="23"/>
      <c r="LI131" s="26"/>
      <c r="LJ131" s="26"/>
      <c r="LK131" s="26"/>
      <c r="LL131" s="26"/>
      <c r="LM131" s="26"/>
      <c r="LN131" s="26"/>
      <c r="LO131" s="26"/>
      <c r="LP131" s="26"/>
      <c r="LQ131" s="26"/>
      <c r="LR131" s="26"/>
      <c r="LS131" s="26"/>
      <c r="LT131" s="26"/>
      <c r="LU131" s="26"/>
      <c r="LV131" s="26"/>
      <c r="LW131" s="26"/>
      <c r="LX131" s="26"/>
      <c r="LY131" s="26"/>
      <c r="LZ131" s="26"/>
      <c r="MA131" s="26"/>
      <c r="MB131" s="26"/>
      <c r="MC131" s="26"/>
      <c r="MD131" s="26"/>
      <c r="ME131" s="26"/>
      <c r="MF131" s="26"/>
      <c r="MG131" s="26"/>
      <c r="MH131" s="26"/>
      <c r="MI131" s="26"/>
      <c r="MJ131" s="26"/>
      <c r="MK131" s="26"/>
      <c r="ML131" s="26"/>
      <c r="MM131" s="26"/>
      <c r="MN131" s="26"/>
      <c r="MO131" s="26"/>
      <c r="MP131" s="26"/>
      <c r="MQ131" s="26"/>
      <c r="MR131" s="26"/>
      <c r="MS131" s="26"/>
      <c r="MT131" s="26"/>
      <c r="MU131" s="23"/>
      <c r="MV131" s="26"/>
      <c r="MW131" s="26"/>
      <c r="MX131" s="26"/>
      <c r="MY131" s="26"/>
      <c r="MZ131" s="26"/>
      <c r="NA131" s="26"/>
      <c r="NB131" s="26"/>
      <c r="NC131" s="26"/>
      <c r="ND131" s="26"/>
      <c r="NE131" s="26"/>
      <c r="NF131" s="26"/>
      <c r="NG131" s="26"/>
      <c r="NH131" s="26"/>
      <c r="NI131" s="26"/>
      <c r="NJ131" s="26"/>
      <c r="NK131" s="26"/>
      <c r="NL131" s="26"/>
      <c r="NM131" s="26"/>
      <c r="NN131" s="26"/>
      <c r="NO131" s="26"/>
      <c r="NP131" s="26"/>
      <c r="NQ131" s="26"/>
      <c r="NR131" s="26"/>
      <c r="NS131" s="26"/>
      <c r="NT131" s="26"/>
      <c r="NU131" s="26"/>
      <c r="NV131" s="26"/>
      <c r="NW131" s="26"/>
      <c r="NX131" s="26"/>
      <c r="NY131" s="26"/>
      <c r="NZ131" s="26"/>
      <c r="OA131" s="26"/>
      <c r="OB131" s="26"/>
      <c r="OC131" s="26"/>
      <c r="OD131" s="26"/>
      <c r="OE131" s="26"/>
      <c r="OF131" s="26"/>
      <c r="OG131" s="26"/>
      <c r="OH131" s="23"/>
      <c r="OI131" s="26"/>
      <c r="OJ131" s="26"/>
      <c r="OK131" s="26"/>
      <c r="OL131" s="26"/>
      <c r="OM131" s="26"/>
      <c r="ON131" s="26"/>
      <c r="OO131" s="26"/>
      <c r="OP131" s="26"/>
      <c r="OQ131" s="26"/>
      <c r="OR131" s="26"/>
      <c r="OS131" s="26"/>
      <c r="OT131" s="26"/>
      <c r="OU131" s="26"/>
      <c r="OV131" s="26"/>
      <c r="OW131" s="26"/>
      <c r="OX131" s="26"/>
      <c r="OY131" s="26"/>
      <c r="OZ131" s="26"/>
      <c r="PA131" s="26"/>
      <c r="PB131" s="26"/>
      <c r="PC131" s="26"/>
      <c r="PD131" s="26"/>
      <c r="PE131" s="26"/>
      <c r="PF131" s="26"/>
      <c r="PG131" s="26"/>
      <c r="PH131" s="26"/>
      <c r="PI131" s="26"/>
      <c r="PJ131" s="26"/>
      <c r="PK131" s="26"/>
      <c r="PL131" s="26"/>
      <c r="PM131" s="26"/>
      <c r="PN131" s="26"/>
      <c r="PO131" s="26"/>
      <c r="PP131" s="26"/>
      <c r="PQ131" s="26"/>
      <c r="PR131" s="26"/>
      <c r="PS131" s="26"/>
      <c r="PT131" s="26"/>
    </row>
    <row r="132" spans="1:436" ht="15.75" thickBot="1" x14ac:dyDescent="0.3">
      <c r="A132" s="24"/>
      <c r="B132" s="25"/>
      <c r="C132" s="25"/>
      <c r="D132" s="25"/>
      <c r="E132" s="24"/>
      <c r="F132" s="24"/>
      <c r="G132" s="24"/>
      <c r="H132" s="23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3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3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23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3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3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3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6"/>
      <c r="JO132" s="26"/>
      <c r="JP132" s="26"/>
      <c r="JQ132" s="26"/>
      <c r="JR132" s="26"/>
      <c r="JS132" s="26"/>
      <c r="JT132" s="26"/>
      <c r="JU132" s="23"/>
      <c r="JV132" s="26"/>
      <c r="JW132" s="26"/>
      <c r="JX132" s="26"/>
      <c r="JY132" s="26"/>
      <c r="JZ132" s="26"/>
      <c r="KA132" s="26"/>
      <c r="KB132" s="26"/>
      <c r="KC132" s="26"/>
      <c r="KD132" s="26"/>
      <c r="KE132" s="26"/>
      <c r="KF132" s="26"/>
      <c r="KG132" s="26"/>
      <c r="KH132" s="26"/>
      <c r="KI132" s="26"/>
      <c r="KJ132" s="26"/>
      <c r="KK132" s="26"/>
      <c r="KL132" s="26"/>
      <c r="KM132" s="26"/>
      <c r="KN132" s="26"/>
      <c r="KO132" s="26"/>
      <c r="KP132" s="26"/>
      <c r="KQ132" s="26"/>
      <c r="KR132" s="26"/>
      <c r="KS132" s="26"/>
      <c r="KT132" s="26"/>
      <c r="KU132" s="26"/>
      <c r="KV132" s="26"/>
      <c r="KW132" s="26"/>
      <c r="KX132" s="26"/>
      <c r="KY132" s="26"/>
      <c r="KZ132" s="26"/>
      <c r="LA132" s="26"/>
      <c r="LB132" s="26"/>
      <c r="LC132" s="26"/>
      <c r="LD132" s="26"/>
      <c r="LE132" s="26"/>
      <c r="LF132" s="26"/>
      <c r="LG132" s="26"/>
      <c r="LH132" s="23"/>
      <c r="LI132" s="26"/>
      <c r="LJ132" s="26"/>
      <c r="LK132" s="26"/>
      <c r="LL132" s="26"/>
      <c r="LM132" s="26"/>
      <c r="LN132" s="26"/>
      <c r="LO132" s="26"/>
      <c r="LP132" s="26"/>
      <c r="LQ132" s="26"/>
      <c r="LR132" s="26"/>
      <c r="LS132" s="26"/>
      <c r="LT132" s="26"/>
      <c r="LU132" s="26"/>
      <c r="LV132" s="26"/>
      <c r="LW132" s="26"/>
      <c r="LX132" s="26"/>
      <c r="LY132" s="26"/>
      <c r="LZ132" s="26"/>
      <c r="MA132" s="26"/>
      <c r="MB132" s="26"/>
      <c r="MC132" s="26"/>
      <c r="MD132" s="26"/>
      <c r="ME132" s="26"/>
      <c r="MF132" s="26"/>
      <c r="MG132" s="26"/>
      <c r="MH132" s="26"/>
      <c r="MI132" s="26"/>
      <c r="MJ132" s="26"/>
      <c r="MK132" s="26"/>
      <c r="ML132" s="26"/>
      <c r="MM132" s="26"/>
      <c r="MN132" s="26"/>
      <c r="MO132" s="26"/>
      <c r="MP132" s="26"/>
      <c r="MQ132" s="26"/>
      <c r="MR132" s="26"/>
      <c r="MS132" s="26"/>
      <c r="MT132" s="26"/>
      <c r="MU132" s="23"/>
      <c r="MV132" s="26"/>
      <c r="MW132" s="26"/>
      <c r="MX132" s="26"/>
      <c r="MY132" s="26"/>
      <c r="MZ132" s="26"/>
      <c r="NA132" s="26"/>
      <c r="NB132" s="26"/>
      <c r="NC132" s="26"/>
      <c r="ND132" s="26"/>
      <c r="NE132" s="26"/>
      <c r="NF132" s="26"/>
      <c r="NG132" s="26"/>
      <c r="NH132" s="26"/>
      <c r="NI132" s="26"/>
      <c r="NJ132" s="26"/>
      <c r="NK132" s="26"/>
      <c r="NL132" s="26"/>
      <c r="NM132" s="26"/>
      <c r="NN132" s="26"/>
      <c r="NO132" s="26"/>
      <c r="NP132" s="26"/>
      <c r="NQ132" s="26"/>
      <c r="NR132" s="26"/>
      <c r="NS132" s="26"/>
      <c r="NT132" s="26"/>
      <c r="NU132" s="26"/>
      <c r="NV132" s="26"/>
      <c r="NW132" s="26"/>
      <c r="NX132" s="26"/>
      <c r="NY132" s="26"/>
      <c r="NZ132" s="26"/>
      <c r="OA132" s="26"/>
      <c r="OB132" s="26"/>
      <c r="OC132" s="26"/>
      <c r="OD132" s="26"/>
      <c r="OE132" s="26"/>
      <c r="OF132" s="26"/>
      <c r="OG132" s="26"/>
      <c r="OH132" s="23"/>
      <c r="OI132" s="26"/>
      <c r="OJ132" s="26"/>
      <c r="OK132" s="26"/>
      <c r="OL132" s="26"/>
      <c r="OM132" s="26"/>
      <c r="ON132" s="26"/>
      <c r="OO132" s="26"/>
      <c r="OP132" s="26"/>
      <c r="OQ132" s="26"/>
      <c r="OR132" s="26"/>
      <c r="OS132" s="26"/>
      <c r="OT132" s="26"/>
      <c r="OU132" s="26"/>
      <c r="OV132" s="26"/>
      <c r="OW132" s="26"/>
      <c r="OX132" s="26"/>
      <c r="OY132" s="26"/>
      <c r="OZ132" s="26"/>
      <c r="PA132" s="26"/>
      <c r="PB132" s="26"/>
      <c r="PC132" s="26"/>
      <c r="PD132" s="26"/>
      <c r="PE132" s="26"/>
      <c r="PF132" s="26"/>
      <c r="PG132" s="26"/>
      <c r="PH132" s="26"/>
      <c r="PI132" s="26"/>
      <c r="PJ132" s="26"/>
      <c r="PK132" s="26"/>
      <c r="PL132" s="26"/>
      <c r="PM132" s="26"/>
      <c r="PN132" s="26"/>
      <c r="PO132" s="26"/>
      <c r="PP132" s="26"/>
      <c r="PQ132" s="26"/>
      <c r="PR132" s="26"/>
      <c r="PS132" s="26"/>
      <c r="PT132" s="26"/>
    </row>
    <row r="133" spans="1:436" ht="15.75" thickBot="1" x14ac:dyDescent="0.3">
      <c r="A133" s="24"/>
      <c r="B133" s="25"/>
      <c r="C133" s="25"/>
      <c r="D133" s="25"/>
      <c r="E133" s="24"/>
      <c r="F133" s="24"/>
      <c r="G133" s="24"/>
      <c r="H133" s="23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3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3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23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3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3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3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6"/>
      <c r="JT133" s="26"/>
      <c r="JU133" s="23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6"/>
      <c r="LG133" s="26"/>
      <c r="LH133" s="23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MD133" s="26"/>
      <c r="ME133" s="26"/>
      <c r="MF133" s="26"/>
      <c r="MG133" s="26"/>
      <c r="MH133" s="26"/>
      <c r="MI133" s="26"/>
      <c r="MJ133" s="26"/>
      <c r="MK133" s="26"/>
      <c r="ML133" s="26"/>
      <c r="MM133" s="26"/>
      <c r="MN133" s="26"/>
      <c r="MO133" s="26"/>
      <c r="MP133" s="26"/>
      <c r="MQ133" s="26"/>
      <c r="MR133" s="26"/>
      <c r="MS133" s="26"/>
      <c r="MT133" s="26"/>
      <c r="MU133" s="23"/>
      <c r="MV133" s="26"/>
      <c r="MW133" s="26"/>
      <c r="MX133" s="26"/>
      <c r="MY133" s="26"/>
      <c r="MZ133" s="26"/>
      <c r="NA133" s="26"/>
      <c r="NB133" s="26"/>
      <c r="NC133" s="26"/>
      <c r="ND133" s="26"/>
      <c r="NE133" s="26"/>
      <c r="NF133" s="26"/>
      <c r="NG133" s="26"/>
      <c r="NH133" s="26"/>
      <c r="NI133" s="26"/>
      <c r="NJ133" s="26"/>
      <c r="NK133" s="26"/>
      <c r="NL133" s="26"/>
      <c r="NM133" s="26"/>
      <c r="NN133" s="26"/>
      <c r="NO133" s="26"/>
      <c r="NP133" s="26"/>
      <c r="NQ133" s="26"/>
      <c r="NR133" s="26"/>
      <c r="NS133" s="26"/>
      <c r="NT133" s="26"/>
      <c r="NU133" s="26"/>
      <c r="NV133" s="26"/>
      <c r="NW133" s="26"/>
      <c r="NX133" s="26"/>
      <c r="NY133" s="26"/>
      <c r="NZ133" s="26"/>
      <c r="OA133" s="26"/>
      <c r="OB133" s="26"/>
      <c r="OC133" s="26"/>
      <c r="OD133" s="26"/>
      <c r="OE133" s="26"/>
      <c r="OF133" s="26"/>
      <c r="OG133" s="26"/>
      <c r="OH133" s="23"/>
      <c r="OI133" s="26"/>
      <c r="OJ133" s="26"/>
      <c r="OK133" s="26"/>
      <c r="OL133" s="26"/>
      <c r="OM133" s="26"/>
      <c r="ON133" s="26"/>
      <c r="OO133" s="26"/>
      <c r="OP133" s="26"/>
      <c r="OQ133" s="26"/>
      <c r="OR133" s="26"/>
      <c r="OS133" s="26"/>
      <c r="OT133" s="26"/>
      <c r="OU133" s="26"/>
      <c r="OV133" s="26"/>
      <c r="OW133" s="26"/>
      <c r="OX133" s="26"/>
      <c r="OY133" s="26"/>
      <c r="OZ133" s="26"/>
      <c r="PA133" s="26"/>
      <c r="PB133" s="26"/>
      <c r="PC133" s="26"/>
      <c r="PD133" s="26"/>
      <c r="PE133" s="26"/>
      <c r="PF133" s="26"/>
      <c r="PG133" s="26"/>
      <c r="PH133" s="26"/>
      <c r="PI133" s="26"/>
      <c r="PJ133" s="26"/>
      <c r="PK133" s="26"/>
      <c r="PL133" s="26"/>
      <c r="PM133" s="26"/>
      <c r="PN133" s="26"/>
      <c r="PO133" s="26"/>
      <c r="PP133" s="26"/>
      <c r="PQ133" s="26"/>
      <c r="PR133" s="26"/>
      <c r="PS133" s="26"/>
      <c r="PT133" s="26"/>
    </row>
    <row r="134" spans="1:436" ht="15.75" thickBot="1" x14ac:dyDescent="0.3">
      <c r="A134" s="24"/>
      <c r="B134" s="25"/>
      <c r="C134" s="25"/>
      <c r="D134" s="25"/>
      <c r="E134" s="24"/>
      <c r="F134" s="24"/>
      <c r="G134" s="24"/>
      <c r="H134" s="23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3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3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23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3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  <c r="GR134" s="26"/>
      <c r="GS134" s="26"/>
      <c r="GT134" s="26"/>
      <c r="GU134" s="23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/>
      <c r="HJ134" s="26"/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6"/>
      <c r="IG134" s="26"/>
      <c r="IH134" s="23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  <c r="JD134" s="26"/>
      <c r="JE134" s="26"/>
      <c r="JF134" s="26"/>
      <c r="JG134" s="26"/>
      <c r="JH134" s="26"/>
      <c r="JI134" s="26"/>
      <c r="JJ134" s="26"/>
      <c r="JK134" s="26"/>
      <c r="JL134" s="26"/>
      <c r="JM134" s="26"/>
      <c r="JN134" s="26"/>
      <c r="JO134" s="26"/>
      <c r="JP134" s="26"/>
      <c r="JQ134" s="26"/>
      <c r="JR134" s="26"/>
      <c r="JS134" s="26"/>
      <c r="JT134" s="26"/>
      <c r="JU134" s="23"/>
      <c r="JV134" s="26"/>
      <c r="JW134" s="26"/>
      <c r="JX134" s="26"/>
      <c r="JY134" s="26"/>
      <c r="JZ134" s="26"/>
      <c r="KA134" s="26"/>
      <c r="KB134" s="26"/>
      <c r="KC134" s="26"/>
      <c r="KD134" s="26"/>
      <c r="KE134" s="26"/>
      <c r="KF134" s="26"/>
      <c r="KG134" s="26"/>
      <c r="KH134" s="26"/>
      <c r="KI134" s="26"/>
      <c r="KJ134" s="26"/>
      <c r="KK134" s="26"/>
      <c r="KL134" s="26"/>
      <c r="KM134" s="26"/>
      <c r="KN134" s="26"/>
      <c r="KO134" s="26"/>
      <c r="KP134" s="26"/>
      <c r="KQ134" s="26"/>
      <c r="KR134" s="26"/>
      <c r="KS134" s="26"/>
      <c r="KT134" s="26"/>
      <c r="KU134" s="26"/>
      <c r="KV134" s="26"/>
      <c r="KW134" s="26"/>
      <c r="KX134" s="26"/>
      <c r="KY134" s="26"/>
      <c r="KZ134" s="26"/>
      <c r="LA134" s="26"/>
      <c r="LB134" s="26"/>
      <c r="LC134" s="26"/>
      <c r="LD134" s="26"/>
      <c r="LE134" s="26"/>
      <c r="LF134" s="26"/>
      <c r="LG134" s="26"/>
      <c r="LH134" s="23"/>
      <c r="LI134" s="26"/>
      <c r="LJ134" s="26"/>
      <c r="LK134" s="26"/>
      <c r="LL134" s="26"/>
      <c r="LM134" s="26"/>
      <c r="LN134" s="26"/>
      <c r="LO134" s="26"/>
      <c r="LP134" s="26"/>
      <c r="LQ134" s="26"/>
      <c r="LR134" s="26"/>
      <c r="LS134" s="26"/>
      <c r="LT134" s="26"/>
      <c r="LU134" s="26"/>
      <c r="LV134" s="26"/>
      <c r="LW134" s="26"/>
      <c r="LX134" s="26"/>
      <c r="LY134" s="26"/>
      <c r="LZ134" s="26"/>
      <c r="MA134" s="26"/>
      <c r="MB134" s="26"/>
      <c r="MC134" s="26"/>
      <c r="MD134" s="26"/>
      <c r="ME134" s="26"/>
      <c r="MF134" s="26"/>
      <c r="MG134" s="26"/>
      <c r="MH134" s="26"/>
      <c r="MI134" s="26"/>
      <c r="MJ134" s="26"/>
      <c r="MK134" s="26"/>
      <c r="ML134" s="26"/>
      <c r="MM134" s="26"/>
      <c r="MN134" s="26"/>
      <c r="MO134" s="26"/>
      <c r="MP134" s="26"/>
      <c r="MQ134" s="26"/>
      <c r="MR134" s="26"/>
      <c r="MS134" s="26"/>
      <c r="MT134" s="26"/>
      <c r="MU134" s="23"/>
      <c r="MV134" s="26"/>
      <c r="MW134" s="26"/>
      <c r="MX134" s="26"/>
      <c r="MY134" s="26"/>
      <c r="MZ134" s="26"/>
      <c r="NA134" s="26"/>
      <c r="NB134" s="26"/>
      <c r="NC134" s="26"/>
      <c r="ND134" s="26"/>
      <c r="NE134" s="26"/>
      <c r="NF134" s="26"/>
      <c r="NG134" s="26"/>
      <c r="NH134" s="26"/>
      <c r="NI134" s="26"/>
      <c r="NJ134" s="26"/>
      <c r="NK134" s="26"/>
      <c r="NL134" s="26"/>
      <c r="NM134" s="26"/>
      <c r="NN134" s="26"/>
      <c r="NO134" s="26"/>
      <c r="NP134" s="26"/>
      <c r="NQ134" s="26"/>
      <c r="NR134" s="26"/>
      <c r="NS134" s="26"/>
      <c r="NT134" s="26"/>
      <c r="NU134" s="26"/>
      <c r="NV134" s="26"/>
      <c r="NW134" s="26"/>
      <c r="NX134" s="26"/>
      <c r="NY134" s="26"/>
      <c r="NZ134" s="26"/>
      <c r="OA134" s="26"/>
      <c r="OB134" s="26"/>
      <c r="OC134" s="26"/>
      <c r="OD134" s="26"/>
      <c r="OE134" s="26"/>
      <c r="OF134" s="26"/>
      <c r="OG134" s="26"/>
      <c r="OH134" s="23"/>
      <c r="OI134" s="26"/>
      <c r="OJ134" s="26"/>
      <c r="OK134" s="26"/>
      <c r="OL134" s="26"/>
      <c r="OM134" s="26"/>
      <c r="ON134" s="26"/>
      <c r="OO134" s="26"/>
      <c r="OP134" s="26"/>
      <c r="OQ134" s="26"/>
      <c r="OR134" s="26"/>
      <c r="OS134" s="26"/>
      <c r="OT134" s="26"/>
      <c r="OU134" s="26"/>
      <c r="OV134" s="26"/>
      <c r="OW134" s="26"/>
      <c r="OX134" s="26"/>
      <c r="OY134" s="26"/>
      <c r="OZ134" s="26"/>
      <c r="PA134" s="26"/>
      <c r="PB134" s="26"/>
      <c r="PC134" s="26"/>
      <c r="PD134" s="26"/>
      <c r="PE134" s="26"/>
      <c r="PF134" s="26"/>
      <c r="PG134" s="26"/>
      <c r="PH134" s="26"/>
      <c r="PI134" s="26"/>
      <c r="PJ134" s="26"/>
      <c r="PK134" s="26"/>
      <c r="PL134" s="26"/>
      <c r="PM134" s="26"/>
      <c r="PN134" s="26"/>
      <c r="PO134" s="26"/>
      <c r="PP134" s="26"/>
      <c r="PQ134" s="26"/>
      <c r="PR134" s="26"/>
      <c r="PS134" s="26"/>
      <c r="PT134" s="26"/>
    </row>
    <row r="135" spans="1:436" ht="15.75" thickBot="1" x14ac:dyDescent="0.3">
      <c r="A135" s="24"/>
      <c r="B135" s="25"/>
      <c r="C135" s="25"/>
      <c r="D135" s="25"/>
      <c r="E135" s="24"/>
      <c r="F135" s="24"/>
      <c r="G135" s="24"/>
      <c r="H135" s="23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3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3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23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3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  <c r="GR135" s="26"/>
      <c r="GS135" s="26"/>
      <c r="GT135" s="26"/>
      <c r="GU135" s="23"/>
      <c r="GV135" s="26"/>
      <c r="GW135" s="26"/>
      <c r="GX135" s="26"/>
      <c r="GY135" s="26"/>
      <c r="GZ135" s="26"/>
      <c r="HA135" s="26"/>
      <c r="HB135" s="26"/>
      <c r="HC135" s="26"/>
      <c r="HD135" s="26"/>
      <c r="HE135" s="26"/>
      <c r="HF135" s="26"/>
      <c r="HG135" s="26"/>
      <c r="HH135" s="26"/>
      <c r="HI135" s="26"/>
      <c r="HJ135" s="26"/>
      <c r="HK135" s="26"/>
      <c r="HL135" s="26"/>
      <c r="HM135" s="26"/>
      <c r="HN135" s="26"/>
      <c r="HO135" s="26"/>
      <c r="HP135" s="26"/>
      <c r="HQ135" s="26"/>
      <c r="HR135" s="26"/>
      <c r="HS135" s="26"/>
      <c r="HT135" s="26"/>
      <c r="HU135" s="26"/>
      <c r="HV135" s="26"/>
      <c r="HW135" s="26"/>
      <c r="HX135" s="26"/>
      <c r="HY135" s="26"/>
      <c r="HZ135" s="26"/>
      <c r="IA135" s="26"/>
      <c r="IB135" s="26"/>
      <c r="IC135" s="26"/>
      <c r="ID135" s="26"/>
      <c r="IE135" s="26"/>
      <c r="IF135" s="26"/>
      <c r="IG135" s="26"/>
      <c r="IH135" s="23"/>
      <c r="II135" s="26"/>
      <c r="IJ135" s="26"/>
      <c r="IK135" s="26"/>
      <c r="IL135" s="26"/>
      <c r="IM135" s="26"/>
      <c r="IN135" s="26"/>
      <c r="IO135" s="26"/>
      <c r="IP135" s="26"/>
      <c r="IQ135" s="26"/>
      <c r="IR135" s="26"/>
      <c r="IS135" s="26"/>
      <c r="IT135" s="26"/>
      <c r="IU135" s="26"/>
      <c r="IV135" s="26"/>
      <c r="IW135" s="26"/>
      <c r="IX135" s="26"/>
      <c r="IY135" s="26"/>
      <c r="IZ135" s="26"/>
      <c r="JA135" s="26"/>
      <c r="JB135" s="26"/>
      <c r="JC135" s="26"/>
      <c r="JD135" s="26"/>
      <c r="JE135" s="26"/>
      <c r="JF135" s="26"/>
      <c r="JG135" s="26"/>
      <c r="JH135" s="26"/>
      <c r="JI135" s="26"/>
      <c r="JJ135" s="26"/>
      <c r="JK135" s="26"/>
      <c r="JL135" s="26"/>
      <c r="JM135" s="26"/>
      <c r="JN135" s="26"/>
      <c r="JO135" s="26"/>
      <c r="JP135" s="26"/>
      <c r="JQ135" s="26"/>
      <c r="JR135" s="26"/>
      <c r="JS135" s="26"/>
      <c r="JT135" s="26"/>
      <c r="JU135" s="23"/>
      <c r="JV135" s="26"/>
      <c r="JW135" s="26"/>
      <c r="JX135" s="26"/>
      <c r="JY135" s="26"/>
      <c r="JZ135" s="26"/>
      <c r="KA135" s="26"/>
      <c r="KB135" s="26"/>
      <c r="KC135" s="26"/>
      <c r="KD135" s="26"/>
      <c r="KE135" s="26"/>
      <c r="KF135" s="26"/>
      <c r="KG135" s="26"/>
      <c r="KH135" s="26"/>
      <c r="KI135" s="26"/>
      <c r="KJ135" s="26"/>
      <c r="KK135" s="26"/>
      <c r="KL135" s="26"/>
      <c r="KM135" s="26"/>
      <c r="KN135" s="26"/>
      <c r="KO135" s="26"/>
      <c r="KP135" s="26"/>
      <c r="KQ135" s="26"/>
      <c r="KR135" s="26"/>
      <c r="KS135" s="26"/>
      <c r="KT135" s="26"/>
      <c r="KU135" s="26"/>
      <c r="KV135" s="26"/>
      <c r="KW135" s="26"/>
      <c r="KX135" s="26"/>
      <c r="KY135" s="26"/>
      <c r="KZ135" s="26"/>
      <c r="LA135" s="26"/>
      <c r="LB135" s="26"/>
      <c r="LC135" s="26"/>
      <c r="LD135" s="26"/>
      <c r="LE135" s="26"/>
      <c r="LF135" s="26"/>
      <c r="LG135" s="26"/>
      <c r="LH135" s="23"/>
      <c r="LI135" s="26"/>
      <c r="LJ135" s="26"/>
      <c r="LK135" s="26"/>
      <c r="LL135" s="26"/>
      <c r="LM135" s="26"/>
      <c r="LN135" s="26"/>
      <c r="LO135" s="26"/>
      <c r="LP135" s="26"/>
      <c r="LQ135" s="26"/>
      <c r="LR135" s="26"/>
      <c r="LS135" s="26"/>
      <c r="LT135" s="26"/>
      <c r="LU135" s="26"/>
      <c r="LV135" s="26"/>
      <c r="LW135" s="26"/>
      <c r="LX135" s="26"/>
      <c r="LY135" s="26"/>
      <c r="LZ135" s="26"/>
      <c r="MA135" s="26"/>
      <c r="MB135" s="26"/>
      <c r="MC135" s="26"/>
      <c r="MD135" s="26"/>
      <c r="ME135" s="26"/>
      <c r="MF135" s="26"/>
      <c r="MG135" s="26"/>
      <c r="MH135" s="26"/>
      <c r="MI135" s="26"/>
      <c r="MJ135" s="26"/>
      <c r="MK135" s="26"/>
      <c r="ML135" s="26"/>
      <c r="MM135" s="26"/>
      <c r="MN135" s="26"/>
      <c r="MO135" s="26"/>
      <c r="MP135" s="26"/>
      <c r="MQ135" s="26"/>
      <c r="MR135" s="26"/>
      <c r="MS135" s="26"/>
      <c r="MT135" s="26"/>
      <c r="MU135" s="23"/>
      <c r="MV135" s="26"/>
      <c r="MW135" s="26"/>
      <c r="MX135" s="26"/>
      <c r="MY135" s="26"/>
      <c r="MZ135" s="26"/>
      <c r="NA135" s="26"/>
      <c r="NB135" s="26"/>
      <c r="NC135" s="26"/>
      <c r="ND135" s="26"/>
      <c r="NE135" s="26"/>
      <c r="NF135" s="26"/>
      <c r="NG135" s="26"/>
      <c r="NH135" s="26"/>
      <c r="NI135" s="26"/>
      <c r="NJ135" s="26"/>
      <c r="NK135" s="26"/>
      <c r="NL135" s="26"/>
      <c r="NM135" s="26"/>
      <c r="NN135" s="26"/>
      <c r="NO135" s="26"/>
      <c r="NP135" s="26"/>
      <c r="NQ135" s="26"/>
      <c r="NR135" s="26"/>
      <c r="NS135" s="26"/>
      <c r="NT135" s="26"/>
      <c r="NU135" s="26"/>
      <c r="NV135" s="26"/>
      <c r="NW135" s="26"/>
      <c r="NX135" s="26"/>
      <c r="NY135" s="26"/>
      <c r="NZ135" s="26"/>
      <c r="OA135" s="26"/>
      <c r="OB135" s="26"/>
      <c r="OC135" s="26"/>
      <c r="OD135" s="26"/>
      <c r="OE135" s="26"/>
      <c r="OF135" s="26"/>
      <c r="OG135" s="26"/>
      <c r="OH135" s="23"/>
      <c r="OI135" s="26"/>
      <c r="OJ135" s="26"/>
      <c r="OK135" s="26"/>
      <c r="OL135" s="26"/>
      <c r="OM135" s="26"/>
      <c r="ON135" s="26"/>
      <c r="OO135" s="26"/>
      <c r="OP135" s="26"/>
      <c r="OQ135" s="26"/>
      <c r="OR135" s="26"/>
      <c r="OS135" s="26"/>
      <c r="OT135" s="26"/>
      <c r="OU135" s="26"/>
      <c r="OV135" s="26"/>
      <c r="OW135" s="26"/>
      <c r="OX135" s="26"/>
      <c r="OY135" s="26"/>
      <c r="OZ135" s="26"/>
      <c r="PA135" s="26"/>
      <c r="PB135" s="26"/>
      <c r="PC135" s="26"/>
      <c r="PD135" s="26"/>
      <c r="PE135" s="26"/>
      <c r="PF135" s="26"/>
      <c r="PG135" s="26"/>
      <c r="PH135" s="26"/>
      <c r="PI135" s="26"/>
      <c r="PJ135" s="26"/>
      <c r="PK135" s="26"/>
      <c r="PL135" s="26"/>
      <c r="PM135" s="26"/>
      <c r="PN135" s="26"/>
      <c r="PO135" s="26"/>
      <c r="PP135" s="26"/>
      <c r="PQ135" s="26"/>
      <c r="PR135" s="26"/>
      <c r="PS135" s="26"/>
      <c r="PT135" s="26"/>
    </row>
    <row r="136" spans="1:436" ht="15.75" thickBot="1" x14ac:dyDescent="0.3">
      <c r="A136" s="24"/>
      <c r="B136" s="25"/>
      <c r="C136" s="25"/>
      <c r="D136" s="25"/>
      <c r="E136" s="24"/>
      <c r="F136" s="24"/>
      <c r="G136" s="24"/>
      <c r="H136" s="23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3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3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82"/>
      <c r="DT136" s="82"/>
      <c r="DU136" s="23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3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6"/>
      <c r="GT136" s="26"/>
      <c r="GU136" s="23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6"/>
      <c r="IG136" s="26"/>
      <c r="IH136" s="23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6"/>
      <c r="JO136" s="26"/>
      <c r="JP136" s="26"/>
      <c r="JQ136" s="26"/>
      <c r="JR136" s="26"/>
      <c r="JS136" s="26"/>
      <c r="JT136" s="26"/>
      <c r="JU136" s="23"/>
      <c r="JV136" s="26"/>
      <c r="JW136" s="26"/>
      <c r="JX136" s="26"/>
      <c r="JY136" s="26"/>
      <c r="JZ136" s="26"/>
      <c r="KA136" s="26"/>
      <c r="KB136" s="26"/>
      <c r="KC136" s="26"/>
      <c r="KD136" s="26"/>
      <c r="KE136" s="26"/>
      <c r="KF136" s="26"/>
      <c r="KG136" s="26"/>
      <c r="KH136" s="26"/>
      <c r="KI136" s="26"/>
      <c r="KJ136" s="26"/>
      <c r="KK136" s="26"/>
      <c r="KL136" s="26"/>
      <c r="KM136" s="26"/>
      <c r="KN136" s="26"/>
      <c r="KO136" s="26"/>
      <c r="KP136" s="26"/>
      <c r="KQ136" s="26"/>
      <c r="KR136" s="26"/>
      <c r="KS136" s="26"/>
      <c r="KT136" s="26"/>
      <c r="KU136" s="26"/>
      <c r="KV136" s="26"/>
      <c r="KW136" s="26"/>
      <c r="KX136" s="26"/>
      <c r="KY136" s="26"/>
      <c r="KZ136" s="26"/>
      <c r="LA136" s="26"/>
      <c r="LB136" s="26"/>
      <c r="LC136" s="26"/>
      <c r="LD136" s="26"/>
      <c r="LE136" s="26"/>
      <c r="LF136" s="26"/>
      <c r="LG136" s="26"/>
      <c r="LH136" s="23"/>
      <c r="LI136" s="26"/>
      <c r="LJ136" s="26"/>
      <c r="LK136" s="26"/>
      <c r="LL136" s="26"/>
      <c r="LM136" s="26"/>
      <c r="LN136" s="26"/>
      <c r="LO136" s="26"/>
      <c r="LP136" s="26"/>
      <c r="LQ136" s="26"/>
      <c r="LR136" s="26"/>
      <c r="LS136" s="26"/>
      <c r="LT136" s="26"/>
      <c r="LU136" s="26"/>
      <c r="LV136" s="26"/>
      <c r="LW136" s="26"/>
      <c r="LX136" s="26"/>
      <c r="LY136" s="26"/>
      <c r="LZ136" s="26"/>
      <c r="MA136" s="26"/>
      <c r="MB136" s="26"/>
      <c r="MC136" s="26"/>
      <c r="MD136" s="26"/>
      <c r="ME136" s="26"/>
      <c r="MF136" s="26"/>
      <c r="MG136" s="26"/>
      <c r="MH136" s="26"/>
      <c r="MI136" s="26"/>
      <c r="MJ136" s="26"/>
      <c r="MK136" s="26"/>
      <c r="ML136" s="26"/>
      <c r="MM136" s="26"/>
      <c r="MN136" s="26"/>
      <c r="MO136" s="26"/>
      <c r="MP136" s="26"/>
      <c r="MQ136" s="26"/>
      <c r="MR136" s="26"/>
      <c r="MS136" s="26"/>
      <c r="MT136" s="26"/>
      <c r="MU136" s="23"/>
      <c r="MV136" s="26"/>
      <c r="MW136" s="26"/>
      <c r="MX136" s="26"/>
      <c r="MY136" s="26"/>
      <c r="MZ136" s="26"/>
      <c r="NA136" s="26"/>
      <c r="NB136" s="26"/>
      <c r="NC136" s="26"/>
      <c r="ND136" s="26"/>
      <c r="NE136" s="26"/>
      <c r="NF136" s="26"/>
      <c r="NG136" s="26"/>
      <c r="NH136" s="26"/>
      <c r="NI136" s="26"/>
      <c r="NJ136" s="26"/>
      <c r="NK136" s="26"/>
      <c r="NL136" s="26"/>
      <c r="NM136" s="26"/>
      <c r="NN136" s="26"/>
      <c r="NO136" s="26"/>
      <c r="NP136" s="26"/>
      <c r="NQ136" s="26"/>
      <c r="NR136" s="26"/>
      <c r="NS136" s="26"/>
      <c r="NT136" s="26"/>
      <c r="NU136" s="26"/>
      <c r="NV136" s="26"/>
      <c r="NW136" s="26"/>
      <c r="NX136" s="26"/>
      <c r="NY136" s="26"/>
      <c r="NZ136" s="26"/>
      <c r="OA136" s="26"/>
      <c r="OB136" s="26"/>
      <c r="OC136" s="26"/>
      <c r="OD136" s="26"/>
      <c r="OE136" s="26"/>
      <c r="OF136" s="26"/>
      <c r="OG136" s="26"/>
      <c r="OH136" s="23"/>
      <c r="OI136" s="26"/>
      <c r="OJ136" s="26"/>
      <c r="OK136" s="26"/>
      <c r="OL136" s="26"/>
      <c r="OM136" s="26"/>
      <c r="ON136" s="26"/>
      <c r="OO136" s="26"/>
      <c r="OP136" s="26"/>
      <c r="OQ136" s="26"/>
      <c r="OR136" s="26"/>
      <c r="OS136" s="26"/>
      <c r="OT136" s="26"/>
      <c r="OU136" s="26"/>
      <c r="OV136" s="26"/>
      <c r="OW136" s="26"/>
      <c r="OX136" s="26"/>
      <c r="OY136" s="26"/>
      <c r="OZ136" s="26"/>
      <c r="PA136" s="26"/>
      <c r="PB136" s="26"/>
      <c r="PC136" s="26"/>
      <c r="PD136" s="26"/>
      <c r="PE136" s="26"/>
      <c r="PF136" s="26"/>
      <c r="PG136" s="26"/>
      <c r="PH136" s="26"/>
      <c r="PI136" s="26"/>
      <c r="PJ136" s="26"/>
      <c r="PK136" s="26"/>
      <c r="PL136" s="26"/>
      <c r="PM136" s="26"/>
      <c r="PN136" s="26"/>
      <c r="PO136" s="26"/>
      <c r="PP136" s="26"/>
      <c r="PQ136" s="26"/>
      <c r="PR136" s="26"/>
      <c r="PS136" s="26"/>
      <c r="PT136" s="26"/>
    </row>
    <row r="137" spans="1:436" ht="15.75" thickBot="1" x14ac:dyDescent="0.3">
      <c r="A137" s="24"/>
      <c r="B137" s="25"/>
      <c r="C137" s="25"/>
      <c r="D137" s="25"/>
      <c r="E137" s="24"/>
      <c r="F137" s="24"/>
      <c r="G137" s="24"/>
      <c r="H137" s="23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3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3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23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3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3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6"/>
      <c r="IG137" s="26"/>
      <c r="IH137" s="23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6"/>
      <c r="JT137" s="26"/>
      <c r="JU137" s="23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  <c r="KO137" s="26"/>
      <c r="KP137" s="26"/>
      <c r="KQ137" s="26"/>
      <c r="KR137" s="26"/>
      <c r="KS137" s="26"/>
      <c r="KT137" s="26"/>
      <c r="KU137" s="26"/>
      <c r="KV137" s="26"/>
      <c r="KW137" s="26"/>
      <c r="KX137" s="26"/>
      <c r="KY137" s="26"/>
      <c r="KZ137" s="26"/>
      <c r="LA137" s="26"/>
      <c r="LB137" s="26"/>
      <c r="LC137" s="26"/>
      <c r="LD137" s="26"/>
      <c r="LE137" s="26"/>
      <c r="LF137" s="26"/>
      <c r="LG137" s="26"/>
      <c r="LH137" s="23"/>
      <c r="LI137" s="26"/>
      <c r="LJ137" s="26"/>
      <c r="LK137" s="26"/>
      <c r="LL137" s="26"/>
      <c r="LM137" s="26"/>
      <c r="LN137" s="26"/>
      <c r="LO137" s="26"/>
      <c r="LP137" s="26"/>
      <c r="LQ137" s="26"/>
      <c r="LR137" s="26"/>
      <c r="LS137" s="26"/>
      <c r="LT137" s="26"/>
      <c r="LU137" s="26"/>
      <c r="LV137" s="26"/>
      <c r="LW137" s="26"/>
      <c r="LX137" s="26"/>
      <c r="LY137" s="26"/>
      <c r="LZ137" s="26"/>
      <c r="MA137" s="26"/>
      <c r="MB137" s="26"/>
      <c r="MC137" s="26"/>
      <c r="MD137" s="26"/>
      <c r="ME137" s="26"/>
      <c r="MF137" s="26"/>
      <c r="MG137" s="26"/>
      <c r="MH137" s="26"/>
      <c r="MI137" s="26"/>
      <c r="MJ137" s="26"/>
      <c r="MK137" s="26"/>
      <c r="ML137" s="26"/>
      <c r="MM137" s="26"/>
      <c r="MN137" s="26"/>
      <c r="MO137" s="26"/>
      <c r="MP137" s="26"/>
      <c r="MQ137" s="26"/>
      <c r="MR137" s="26"/>
      <c r="MS137" s="26"/>
      <c r="MT137" s="26"/>
      <c r="MU137" s="23"/>
      <c r="MV137" s="26"/>
      <c r="MW137" s="26"/>
      <c r="MX137" s="26"/>
      <c r="MY137" s="26"/>
      <c r="MZ137" s="26"/>
      <c r="NA137" s="26"/>
      <c r="NB137" s="26"/>
      <c r="NC137" s="26"/>
      <c r="ND137" s="26"/>
      <c r="NE137" s="26"/>
      <c r="NF137" s="26"/>
      <c r="NG137" s="26"/>
      <c r="NH137" s="26"/>
      <c r="NI137" s="26"/>
      <c r="NJ137" s="26"/>
      <c r="NK137" s="26"/>
      <c r="NL137" s="26"/>
      <c r="NM137" s="26"/>
      <c r="NN137" s="26"/>
      <c r="NO137" s="26"/>
      <c r="NP137" s="26"/>
      <c r="NQ137" s="26"/>
      <c r="NR137" s="26"/>
      <c r="NS137" s="26"/>
      <c r="NT137" s="26"/>
      <c r="NU137" s="26"/>
      <c r="NV137" s="26"/>
      <c r="NW137" s="26"/>
      <c r="NX137" s="26"/>
      <c r="NY137" s="26"/>
      <c r="NZ137" s="26"/>
      <c r="OA137" s="26"/>
      <c r="OB137" s="26"/>
      <c r="OC137" s="26"/>
      <c r="OD137" s="26"/>
      <c r="OE137" s="26"/>
      <c r="OF137" s="26"/>
      <c r="OG137" s="26"/>
      <c r="OH137" s="23"/>
      <c r="OI137" s="26"/>
      <c r="OJ137" s="26"/>
      <c r="OK137" s="26"/>
      <c r="OL137" s="26"/>
      <c r="OM137" s="26"/>
      <c r="ON137" s="26"/>
      <c r="OO137" s="26"/>
      <c r="OP137" s="26"/>
      <c r="OQ137" s="26"/>
      <c r="OR137" s="26"/>
      <c r="OS137" s="26"/>
      <c r="OT137" s="26"/>
      <c r="OU137" s="26"/>
      <c r="OV137" s="26"/>
      <c r="OW137" s="26"/>
      <c r="OX137" s="26"/>
      <c r="OY137" s="26"/>
      <c r="OZ137" s="26"/>
      <c r="PA137" s="26"/>
      <c r="PB137" s="26"/>
      <c r="PC137" s="26"/>
      <c r="PD137" s="26"/>
      <c r="PE137" s="26"/>
      <c r="PF137" s="26"/>
      <c r="PG137" s="26"/>
      <c r="PH137" s="26"/>
      <c r="PI137" s="26"/>
      <c r="PJ137" s="26"/>
      <c r="PK137" s="26"/>
      <c r="PL137" s="26"/>
      <c r="PM137" s="26"/>
      <c r="PN137" s="26"/>
      <c r="PO137" s="26"/>
      <c r="PP137" s="26"/>
      <c r="PQ137" s="26"/>
      <c r="PR137" s="26"/>
      <c r="PS137" s="26"/>
      <c r="PT137" s="26"/>
    </row>
    <row r="138" spans="1:436" ht="21.95" customHeight="1" thickBot="1" x14ac:dyDescent="0.3">
      <c r="A138" s="87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  <c r="FU138" s="88"/>
      <c r="FV138" s="88"/>
      <c r="FW138" s="88"/>
      <c r="FX138" s="88"/>
      <c r="FY138" s="88"/>
      <c r="FZ138" s="88"/>
      <c r="GA138" s="88"/>
      <c r="GB138" s="88"/>
      <c r="GC138" s="88"/>
      <c r="GD138" s="88"/>
      <c r="GE138" s="88"/>
      <c r="GF138" s="88"/>
      <c r="GG138" s="88"/>
      <c r="GH138" s="88"/>
      <c r="GI138" s="88"/>
      <c r="GJ138" s="88"/>
      <c r="GK138" s="88"/>
      <c r="GL138" s="88"/>
      <c r="GM138" s="88"/>
      <c r="GN138" s="88"/>
      <c r="GO138" s="88"/>
      <c r="GP138" s="88"/>
      <c r="GQ138" s="88"/>
      <c r="GR138" s="88"/>
      <c r="GS138" s="88"/>
      <c r="GT138" s="88"/>
      <c r="GU138" s="88"/>
      <c r="GV138" s="88"/>
      <c r="GW138" s="88"/>
      <c r="GX138" s="88"/>
      <c r="GY138" s="88"/>
      <c r="GZ138" s="88"/>
      <c r="HA138" s="88"/>
      <c r="HB138" s="88"/>
      <c r="HC138" s="88"/>
      <c r="HD138" s="88"/>
      <c r="HE138" s="88"/>
      <c r="HF138" s="88"/>
      <c r="HG138" s="88"/>
      <c r="HH138" s="88"/>
      <c r="HI138" s="88"/>
      <c r="HJ138" s="88"/>
      <c r="HK138" s="88"/>
      <c r="HL138" s="88"/>
      <c r="HM138" s="88"/>
      <c r="HN138" s="88"/>
      <c r="HO138" s="88"/>
      <c r="HP138" s="88"/>
      <c r="HQ138" s="88"/>
      <c r="HR138" s="88"/>
      <c r="HS138" s="88"/>
      <c r="HT138" s="88"/>
      <c r="HU138" s="88"/>
      <c r="HV138" s="88"/>
      <c r="HW138" s="88"/>
      <c r="HX138" s="88"/>
      <c r="HY138" s="88"/>
      <c r="HZ138" s="88"/>
      <c r="IA138" s="88"/>
      <c r="IB138" s="88"/>
      <c r="IC138" s="88"/>
      <c r="ID138" s="88"/>
      <c r="IE138" s="88"/>
      <c r="IF138" s="88"/>
      <c r="IG138" s="88"/>
      <c r="IH138" s="88"/>
      <c r="II138" s="88"/>
      <c r="IJ138" s="88"/>
      <c r="IK138" s="88"/>
      <c r="IL138" s="88"/>
      <c r="IM138" s="88"/>
      <c r="IN138" s="88"/>
      <c r="IO138" s="88"/>
      <c r="IP138" s="88"/>
      <c r="IQ138" s="88"/>
      <c r="IR138" s="88"/>
      <c r="IS138" s="88"/>
      <c r="IT138" s="88"/>
      <c r="IU138" s="88"/>
      <c r="IV138" s="88"/>
      <c r="IW138" s="88"/>
      <c r="IX138" s="88"/>
      <c r="IY138" s="88"/>
      <c r="IZ138" s="88"/>
      <c r="JA138" s="88"/>
      <c r="JB138" s="88"/>
      <c r="JC138" s="88"/>
      <c r="JD138" s="88"/>
      <c r="JE138" s="88"/>
      <c r="JF138" s="88"/>
      <c r="JG138" s="88"/>
      <c r="JH138" s="88"/>
      <c r="JI138" s="88"/>
      <c r="JJ138" s="88"/>
      <c r="JK138" s="88"/>
      <c r="JL138" s="88"/>
      <c r="JM138" s="88"/>
      <c r="JN138" s="88"/>
      <c r="JO138" s="88"/>
      <c r="JP138" s="88"/>
      <c r="JQ138" s="88"/>
      <c r="JR138" s="88"/>
      <c r="JS138" s="88"/>
      <c r="JT138" s="88"/>
      <c r="JU138" s="88"/>
      <c r="JV138" s="88"/>
      <c r="JW138" s="88"/>
      <c r="JX138" s="88"/>
      <c r="JY138" s="88"/>
      <c r="JZ138" s="88"/>
      <c r="KA138" s="88"/>
      <c r="KB138" s="88"/>
      <c r="KC138" s="88"/>
      <c r="KD138" s="88"/>
      <c r="KE138" s="88"/>
      <c r="KF138" s="88"/>
      <c r="KG138" s="88"/>
      <c r="KH138" s="88"/>
      <c r="KI138" s="88"/>
      <c r="KJ138" s="88"/>
      <c r="KK138" s="88"/>
      <c r="KL138" s="88"/>
      <c r="KM138" s="88"/>
      <c r="KN138" s="88"/>
      <c r="KO138" s="88"/>
      <c r="KP138" s="88"/>
      <c r="KQ138" s="88"/>
      <c r="KR138" s="88"/>
      <c r="KS138" s="88"/>
      <c r="KT138" s="88"/>
      <c r="KU138" s="88"/>
      <c r="KV138" s="88"/>
      <c r="KW138" s="88"/>
      <c r="KX138" s="88"/>
      <c r="KY138" s="88"/>
      <c r="KZ138" s="88"/>
      <c r="LA138" s="88"/>
      <c r="LB138" s="88"/>
      <c r="LC138" s="88"/>
      <c r="LD138" s="88"/>
      <c r="LE138" s="88"/>
      <c r="LF138" s="88"/>
      <c r="LG138" s="88"/>
      <c r="LH138" s="88"/>
      <c r="LI138" s="88"/>
      <c r="LJ138" s="88"/>
      <c r="LK138" s="88"/>
      <c r="LL138" s="88"/>
      <c r="LM138" s="88"/>
      <c r="LN138" s="88"/>
      <c r="LO138" s="88"/>
      <c r="LP138" s="88"/>
      <c r="LQ138" s="88"/>
      <c r="LR138" s="88"/>
      <c r="LS138" s="88"/>
      <c r="LT138" s="88"/>
      <c r="LU138" s="88"/>
      <c r="LV138" s="88"/>
      <c r="LW138" s="88"/>
      <c r="LX138" s="88"/>
      <c r="LY138" s="88"/>
      <c r="LZ138" s="88"/>
      <c r="MA138" s="88"/>
      <c r="MB138" s="88"/>
      <c r="MC138" s="88"/>
      <c r="MD138" s="88"/>
      <c r="ME138" s="88"/>
      <c r="MF138" s="88"/>
      <c r="MG138" s="88"/>
      <c r="MH138" s="88"/>
      <c r="MI138" s="88"/>
      <c r="MJ138" s="88"/>
      <c r="MK138" s="88"/>
      <c r="ML138" s="88"/>
      <c r="MM138" s="88"/>
      <c r="MN138" s="88"/>
      <c r="MO138" s="88"/>
      <c r="MP138" s="88"/>
      <c r="MQ138" s="88"/>
      <c r="MR138" s="88"/>
      <c r="MS138" s="88"/>
      <c r="MT138" s="88"/>
      <c r="MU138" s="88"/>
      <c r="MV138" s="88"/>
      <c r="MW138" s="88"/>
      <c r="MX138" s="88"/>
      <c r="MY138" s="88"/>
      <c r="MZ138" s="88"/>
      <c r="NA138" s="88"/>
      <c r="NB138" s="88"/>
      <c r="NC138" s="88"/>
      <c r="ND138" s="88"/>
      <c r="NE138" s="88"/>
      <c r="NF138" s="88"/>
      <c r="NG138" s="88"/>
      <c r="NH138" s="88"/>
      <c r="NI138" s="88"/>
      <c r="NJ138" s="88"/>
      <c r="NK138" s="88"/>
      <c r="NL138" s="88"/>
      <c r="NM138" s="88"/>
      <c r="NN138" s="88"/>
      <c r="NO138" s="88"/>
      <c r="NP138" s="88"/>
      <c r="NQ138" s="88"/>
      <c r="NR138" s="88"/>
      <c r="NS138" s="88"/>
      <c r="NT138" s="88"/>
      <c r="NU138" s="88"/>
      <c r="NV138" s="88"/>
      <c r="NW138" s="88"/>
      <c r="NX138" s="88"/>
      <c r="NY138" s="88"/>
      <c r="NZ138" s="88"/>
      <c r="OA138" s="88"/>
      <c r="OB138" s="88"/>
      <c r="OC138" s="88"/>
      <c r="OD138" s="88"/>
      <c r="OE138" s="88"/>
      <c r="OF138" s="88"/>
      <c r="OG138" s="88"/>
      <c r="OH138" s="88"/>
      <c r="OI138" s="88"/>
      <c r="OJ138" s="88"/>
      <c r="OK138" s="88"/>
      <c r="OL138" s="88"/>
      <c r="OM138" s="88"/>
      <c r="ON138" s="88"/>
      <c r="OO138" s="88"/>
      <c r="OP138" s="88"/>
      <c r="OQ138" s="88"/>
      <c r="OR138" s="88"/>
      <c r="OS138" s="88"/>
      <c r="OT138" s="88"/>
      <c r="OU138" s="88"/>
      <c r="OV138" s="88"/>
      <c r="OW138" s="88"/>
      <c r="OX138" s="88"/>
      <c r="OY138" s="88"/>
      <c r="OZ138" s="88"/>
      <c r="PA138" s="88"/>
      <c r="PB138" s="88"/>
      <c r="PC138" s="88"/>
      <c r="PD138" s="88"/>
      <c r="PE138" s="88"/>
      <c r="PF138" s="88"/>
      <c r="PG138" s="88"/>
      <c r="PH138" s="88"/>
      <c r="PI138" s="88"/>
      <c r="PJ138" s="88"/>
      <c r="PK138" s="88"/>
      <c r="PL138" s="88"/>
      <c r="PM138" s="88"/>
      <c r="PN138" s="88"/>
      <c r="PO138" s="88"/>
      <c r="PP138" s="88"/>
      <c r="PQ138" s="88"/>
      <c r="PR138" s="88"/>
      <c r="PS138" s="88"/>
      <c r="PT138" s="89"/>
    </row>
    <row r="139" spans="1:436" ht="15.75" thickBot="1" x14ac:dyDescent="0.3">
      <c r="A139" s="24"/>
      <c r="B139" s="25"/>
      <c r="C139" s="25"/>
      <c r="D139" s="25"/>
      <c r="E139" s="24"/>
      <c r="F139" s="24"/>
      <c r="G139" s="24"/>
      <c r="H139" s="23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3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3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3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3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6"/>
      <c r="GT139" s="26"/>
      <c r="GU139" s="23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6"/>
      <c r="IG139" s="26"/>
      <c r="IH139" s="23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6"/>
      <c r="JT139" s="26"/>
      <c r="JU139" s="23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  <c r="KO139" s="26"/>
      <c r="KP139" s="26"/>
      <c r="KQ139" s="26"/>
      <c r="KR139" s="26"/>
      <c r="KS139" s="26"/>
      <c r="KT139" s="26"/>
      <c r="KU139" s="26"/>
      <c r="KV139" s="26"/>
      <c r="KW139" s="26"/>
      <c r="KX139" s="26"/>
      <c r="KY139" s="26"/>
      <c r="KZ139" s="26"/>
      <c r="LA139" s="26"/>
      <c r="LB139" s="26"/>
      <c r="LC139" s="26"/>
      <c r="LD139" s="26"/>
      <c r="LE139" s="26"/>
      <c r="LF139" s="26"/>
      <c r="LG139" s="26"/>
      <c r="LH139" s="23"/>
      <c r="LI139" s="26"/>
      <c r="LJ139" s="26"/>
      <c r="LK139" s="26"/>
      <c r="LL139" s="26"/>
      <c r="LM139" s="26"/>
      <c r="LN139" s="26"/>
      <c r="LO139" s="26"/>
      <c r="LP139" s="26"/>
      <c r="LQ139" s="26"/>
      <c r="LR139" s="26"/>
      <c r="LS139" s="26"/>
      <c r="LT139" s="26"/>
      <c r="LU139" s="26"/>
      <c r="LV139" s="26"/>
      <c r="LW139" s="26"/>
      <c r="LX139" s="26"/>
      <c r="LY139" s="26"/>
      <c r="LZ139" s="26"/>
      <c r="MA139" s="26"/>
      <c r="MB139" s="26"/>
      <c r="MC139" s="26"/>
      <c r="MD139" s="26"/>
      <c r="ME139" s="26"/>
      <c r="MF139" s="26"/>
      <c r="MG139" s="26"/>
      <c r="MH139" s="26"/>
      <c r="MI139" s="26"/>
      <c r="MJ139" s="26"/>
      <c r="MK139" s="26"/>
      <c r="ML139" s="26"/>
      <c r="MM139" s="26"/>
      <c r="MN139" s="26"/>
      <c r="MO139" s="26"/>
      <c r="MP139" s="26"/>
      <c r="MQ139" s="26"/>
      <c r="MR139" s="26"/>
      <c r="MS139" s="26"/>
      <c r="MT139" s="26"/>
      <c r="MU139" s="23"/>
      <c r="MV139" s="26"/>
      <c r="MW139" s="26"/>
      <c r="MX139" s="26"/>
      <c r="MY139" s="26"/>
      <c r="MZ139" s="26"/>
      <c r="NA139" s="26"/>
      <c r="NB139" s="26"/>
      <c r="NC139" s="26"/>
      <c r="ND139" s="26"/>
      <c r="NE139" s="26"/>
      <c r="NF139" s="26"/>
      <c r="NG139" s="26"/>
      <c r="NH139" s="26"/>
      <c r="NI139" s="26"/>
      <c r="NJ139" s="26"/>
      <c r="NK139" s="26"/>
      <c r="NL139" s="26"/>
      <c r="NM139" s="26"/>
      <c r="NN139" s="26"/>
      <c r="NO139" s="26"/>
      <c r="NP139" s="26"/>
      <c r="NQ139" s="26"/>
      <c r="NR139" s="26"/>
      <c r="NS139" s="26"/>
      <c r="NT139" s="26"/>
      <c r="NU139" s="26"/>
      <c r="NV139" s="26"/>
      <c r="NW139" s="26"/>
      <c r="NX139" s="26"/>
      <c r="NY139" s="26"/>
      <c r="NZ139" s="26"/>
      <c r="OA139" s="26"/>
      <c r="OB139" s="26"/>
      <c r="OC139" s="26"/>
      <c r="OD139" s="26"/>
      <c r="OE139" s="26"/>
      <c r="OF139" s="26"/>
      <c r="OG139" s="26"/>
      <c r="OH139" s="23"/>
      <c r="OI139" s="26"/>
      <c r="OJ139" s="26"/>
      <c r="OK139" s="26"/>
      <c r="OL139" s="26"/>
      <c r="OM139" s="26"/>
      <c r="ON139" s="26"/>
      <c r="OO139" s="26"/>
      <c r="OP139" s="26"/>
      <c r="OQ139" s="26"/>
      <c r="OR139" s="26"/>
      <c r="OS139" s="26"/>
      <c r="OT139" s="26"/>
      <c r="OU139" s="26"/>
      <c r="OV139" s="26"/>
      <c r="OW139" s="26"/>
      <c r="OX139" s="26"/>
      <c r="OY139" s="26"/>
      <c r="OZ139" s="26"/>
      <c r="PA139" s="26"/>
      <c r="PB139" s="26"/>
      <c r="PC139" s="26"/>
      <c r="PD139" s="26"/>
      <c r="PE139" s="26"/>
      <c r="PF139" s="26"/>
      <c r="PG139" s="26"/>
      <c r="PH139" s="26"/>
      <c r="PI139" s="26"/>
      <c r="PJ139" s="26"/>
      <c r="PK139" s="26"/>
      <c r="PL139" s="26"/>
      <c r="PM139" s="26"/>
      <c r="PN139" s="26"/>
      <c r="PO139" s="26"/>
      <c r="PP139" s="26"/>
      <c r="PQ139" s="26"/>
      <c r="PR139" s="26"/>
      <c r="PS139" s="26"/>
      <c r="PT139" s="26"/>
    </row>
    <row r="140" spans="1:436" ht="15.75" thickBot="1" x14ac:dyDescent="0.3">
      <c r="A140" s="24"/>
      <c r="B140" s="25"/>
      <c r="C140" s="25"/>
      <c r="D140" s="25"/>
      <c r="E140" s="24"/>
      <c r="F140" s="24"/>
      <c r="G140" s="24"/>
      <c r="H140" s="23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3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3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3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3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6"/>
      <c r="GT140" s="26"/>
      <c r="GU140" s="23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6"/>
      <c r="IG140" s="26"/>
      <c r="IH140" s="23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  <c r="JD140" s="26"/>
      <c r="JE140" s="26"/>
      <c r="JF140" s="26"/>
      <c r="JG140" s="26"/>
      <c r="JH140" s="26"/>
      <c r="JI140" s="26"/>
      <c r="JJ140" s="26"/>
      <c r="JK140" s="26"/>
      <c r="JL140" s="26"/>
      <c r="JM140" s="26"/>
      <c r="JN140" s="26"/>
      <c r="JO140" s="26"/>
      <c r="JP140" s="26"/>
      <c r="JQ140" s="26"/>
      <c r="JR140" s="26"/>
      <c r="JS140" s="26"/>
      <c r="JT140" s="26"/>
      <c r="JU140" s="23"/>
      <c r="JV140" s="26"/>
      <c r="JW140" s="26"/>
      <c r="JX140" s="26"/>
      <c r="JY140" s="26"/>
      <c r="JZ140" s="26"/>
      <c r="KA140" s="26"/>
      <c r="KB140" s="26"/>
      <c r="KC140" s="26"/>
      <c r="KD140" s="26"/>
      <c r="KE140" s="26"/>
      <c r="KF140" s="26"/>
      <c r="KG140" s="26"/>
      <c r="KH140" s="26"/>
      <c r="KI140" s="26"/>
      <c r="KJ140" s="26"/>
      <c r="KK140" s="26"/>
      <c r="KL140" s="26"/>
      <c r="KM140" s="26"/>
      <c r="KN140" s="26"/>
      <c r="KO140" s="26"/>
      <c r="KP140" s="26"/>
      <c r="KQ140" s="26"/>
      <c r="KR140" s="26"/>
      <c r="KS140" s="26"/>
      <c r="KT140" s="26"/>
      <c r="KU140" s="26"/>
      <c r="KV140" s="26"/>
      <c r="KW140" s="26"/>
      <c r="KX140" s="26"/>
      <c r="KY140" s="26"/>
      <c r="KZ140" s="26"/>
      <c r="LA140" s="26"/>
      <c r="LB140" s="26"/>
      <c r="LC140" s="26"/>
      <c r="LD140" s="26"/>
      <c r="LE140" s="26"/>
      <c r="LF140" s="26"/>
      <c r="LG140" s="26"/>
      <c r="LH140" s="23"/>
      <c r="LI140" s="26"/>
      <c r="LJ140" s="26"/>
      <c r="LK140" s="26"/>
      <c r="LL140" s="26"/>
      <c r="LM140" s="26"/>
      <c r="LN140" s="26"/>
      <c r="LO140" s="26"/>
      <c r="LP140" s="26"/>
      <c r="LQ140" s="26"/>
      <c r="LR140" s="26"/>
      <c r="LS140" s="26"/>
      <c r="LT140" s="26"/>
      <c r="LU140" s="26"/>
      <c r="LV140" s="26"/>
      <c r="LW140" s="26"/>
      <c r="LX140" s="26"/>
      <c r="LY140" s="26"/>
      <c r="LZ140" s="26"/>
      <c r="MA140" s="26"/>
      <c r="MB140" s="26"/>
      <c r="MC140" s="26"/>
      <c r="MD140" s="26"/>
      <c r="ME140" s="26"/>
      <c r="MF140" s="26"/>
      <c r="MG140" s="26"/>
      <c r="MH140" s="26"/>
      <c r="MI140" s="26"/>
      <c r="MJ140" s="26"/>
      <c r="MK140" s="26"/>
      <c r="ML140" s="26"/>
      <c r="MM140" s="26"/>
      <c r="MN140" s="26"/>
      <c r="MO140" s="26"/>
      <c r="MP140" s="26"/>
      <c r="MQ140" s="26"/>
      <c r="MR140" s="26"/>
      <c r="MS140" s="26"/>
      <c r="MT140" s="26"/>
      <c r="MU140" s="23"/>
      <c r="MV140" s="26"/>
      <c r="MW140" s="26"/>
      <c r="MX140" s="26"/>
      <c r="MY140" s="26"/>
      <c r="MZ140" s="26"/>
      <c r="NA140" s="26"/>
      <c r="NB140" s="26"/>
      <c r="NC140" s="26"/>
      <c r="ND140" s="26"/>
      <c r="NE140" s="26"/>
      <c r="NF140" s="26"/>
      <c r="NG140" s="26"/>
      <c r="NH140" s="26"/>
      <c r="NI140" s="26"/>
      <c r="NJ140" s="26"/>
      <c r="NK140" s="26"/>
      <c r="NL140" s="26"/>
      <c r="NM140" s="26"/>
      <c r="NN140" s="26"/>
      <c r="NO140" s="26"/>
      <c r="NP140" s="26"/>
      <c r="NQ140" s="26"/>
      <c r="NR140" s="26"/>
      <c r="NS140" s="26"/>
      <c r="NT140" s="26"/>
      <c r="NU140" s="26"/>
      <c r="NV140" s="26"/>
      <c r="NW140" s="26"/>
      <c r="NX140" s="26"/>
      <c r="NY140" s="26"/>
      <c r="NZ140" s="26"/>
      <c r="OA140" s="26"/>
      <c r="OB140" s="26"/>
      <c r="OC140" s="26"/>
      <c r="OD140" s="26"/>
      <c r="OE140" s="26"/>
      <c r="OF140" s="26"/>
      <c r="OG140" s="26"/>
      <c r="OH140" s="23"/>
      <c r="OI140" s="26"/>
      <c r="OJ140" s="26"/>
      <c r="OK140" s="26"/>
      <c r="OL140" s="26"/>
      <c r="OM140" s="26"/>
      <c r="ON140" s="26"/>
      <c r="OO140" s="26"/>
      <c r="OP140" s="26"/>
      <c r="OQ140" s="26"/>
      <c r="OR140" s="26"/>
      <c r="OS140" s="26"/>
      <c r="OT140" s="26"/>
      <c r="OU140" s="26"/>
      <c r="OV140" s="26"/>
      <c r="OW140" s="26"/>
      <c r="OX140" s="26"/>
      <c r="OY140" s="26"/>
      <c r="OZ140" s="26"/>
      <c r="PA140" s="26"/>
      <c r="PB140" s="26"/>
      <c r="PC140" s="26"/>
      <c r="PD140" s="26"/>
      <c r="PE140" s="26"/>
      <c r="PF140" s="26"/>
      <c r="PG140" s="26"/>
      <c r="PH140" s="26"/>
      <c r="PI140" s="26"/>
      <c r="PJ140" s="26"/>
      <c r="PK140" s="26"/>
      <c r="PL140" s="26"/>
      <c r="PM140" s="26"/>
      <c r="PN140" s="26"/>
      <c r="PO140" s="26"/>
      <c r="PP140" s="26"/>
      <c r="PQ140" s="26"/>
      <c r="PR140" s="26"/>
      <c r="PS140" s="26"/>
      <c r="PT140" s="26"/>
    </row>
    <row r="141" spans="1:436" ht="15.75" thickBot="1" x14ac:dyDescent="0.3">
      <c r="A141" s="24"/>
      <c r="B141" s="25"/>
      <c r="C141" s="25"/>
      <c r="D141" s="25"/>
      <c r="E141" s="24"/>
      <c r="F141" s="24"/>
      <c r="G141" s="24"/>
      <c r="H141" s="23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3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3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3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3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6"/>
      <c r="GT141" s="26"/>
      <c r="GU141" s="23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6"/>
      <c r="IG141" s="26"/>
      <c r="IH141" s="23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  <c r="JD141" s="26"/>
      <c r="JE141" s="26"/>
      <c r="JF141" s="26"/>
      <c r="JG141" s="26"/>
      <c r="JH141" s="26"/>
      <c r="JI141" s="26"/>
      <c r="JJ141" s="26"/>
      <c r="JK141" s="26"/>
      <c r="JL141" s="26"/>
      <c r="JM141" s="26"/>
      <c r="JN141" s="26"/>
      <c r="JO141" s="26"/>
      <c r="JP141" s="26"/>
      <c r="JQ141" s="26"/>
      <c r="JR141" s="26"/>
      <c r="JS141" s="26"/>
      <c r="JT141" s="26"/>
      <c r="JU141" s="23"/>
      <c r="JV141" s="26"/>
      <c r="JW141" s="26"/>
      <c r="JX141" s="26"/>
      <c r="JY141" s="26"/>
      <c r="JZ141" s="26"/>
      <c r="KA141" s="26"/>
      <c r="KB141" s="26"/>
      <c r="KC141" s="26"/>
      <c r="KD141" s="26"/>
      <c r="KE141" s="26"/>
      <c r="KF141" s="26"/>
      <c r="KG141" s="26"/>
      <c r="KH141" s="26"/>
      <c r="KI141" s="26"/>
      <c r="KJ141" s="26"/>
      <c r="KK141" s="26"/>
      <c r="KL141" s="26"/>
      <c r="KM141" s="26"/>
      <c r="KN141" s="26"/>
      <c r="KO141" s="26"/>
      <c r="KP141" s="26"/>
      <c r="KQ141" s="26"/>
      <c r="KR141" s="26"/>
      <c r="KS141" s="26"/>
      <c r="KT141" s="26"/>
      <c r="KU141" s="26"/>
      <c r="KV141" s="26"/>
      <c r="KW141" s="26"/>
      <c r="KX141" s="26"/>
      <c r="KY141" s="26"/>
      <c r="KZ141" s="26"/>
      <c r="LA141" s="26"/>
      <c r="LB141" s="26"/>
      <c r="LC141" s="26"/>
      <c r="LD141" s="26"/>
      <c r="LE141" s="26"/>
      <c r="LF141" s="26"/>
      <c r="LG141" s="26"/>
      <c r="LH141" s="23"/>
      <c r="LI141" s="26"/>
      <c r="LJ141" s="26"/>
      <c r="LK141" s="26"/>
      <c r="LL141" s="26"/>
      <c r="LM141" s="26"/>
      <c r="LN141" s="26"/>
      <c r="LO141" s="26"/>
      <c r="LP141" s="26"/>
      <c r="LQ141" s="26"/>
      <c r="LR141" s="26"/>
      <c r="LS141" s="26"/>
      <c r="LT141" s="26"/>
      <c r="LU141" s="26"/>
      <c r="LV141" s="26"/>
      <c r="LW141" s="26"/>
      <c r="LX141" s="26"/>
      <c r="LY141" s="26"/>
      <c r="LZ141" s="26"/>
      <c r="MA141" s="26"/>
      <c r="MB141" s="26"/>
      <c r="MC141" s="26"/>
      <c r="MD141" s="26"/>
      <c r="ME141" s="26"/>
      <c r="MF141" s="26"/>
      <c r="MG141" s="26"/>
      <c r="MH141" s="26"/>
      <c r="MI141" s="26"/>
      <c r="MJ141" s="26"/>
      <c r="MK141" s="26"/>
      <c r="ML141" s="26"/>
      <c r="MM141" s="26"/>
      <c r="MN141" s="26"/>
      <c r="MO141" s="26"/>
      <c r="MP141" s="26"/>
      <c r="MQ141" s="26"/>
      <c r="MR141" s="26"/>
      <c r="MS141" s="26"/>
      <c r="MT141" s="26"/>
      <c r="MU141" s="23"/>
      <c r="MV141" s="26"/>
      <c r="MW141" s="26"/>
      <c r="MX141" s="26"/>
      <c r="MY141" s="26"/>
      <c r="MZ141" s="26"/>
      <c r="NA141" s="26"/>
      <c r="NB141" s="26"/>
      <c r="NC141" s="26"/>
      <c r="ND141" s="26"/>
      <c r="NE141" s="26"/>
      <c r="NF141" s="26"/>
      <c r="NG141" s="26"/>
      <c r="NH141" s="26"/>
      <c r="NI141" s="26"/>
      <c r="NJ141" s="26"/>
      <c r="NK141" s="26"/>
      <c r="NL141" s="26"/>
      <c r="NM141" s="26"/>
      <c r="NN141" s="26"/>
      <c r="NO141" s="26"/>
      <c r="NP141" s="26"/>
      <c r="NQ141" s="26"/>
      <c r="NR141" s="26"/>
      <c r="NS141" s="26"/>
      <c r="NT141" s="26"/>
      <c r="NU141" s="26"/>
      <c r="NV141" s="26"/>
      <c r="NW141" s="26"/>
      <c r="NX141" s="26"/>
      <c r="NY141" s="26"/>
      <c r="NZ141" s="26"/>
      <c r="OA141" s="26"/>
      <c r="OB141" s="26"/>
      <c r="OC141" s="26"/>
      <c r="OD141" s="26"/>
      <c r="OE141" s="26"/>
      <c r="OF141" s="26"/>
      <c r="OG141" s="26"/>
      <c r="OH141" s="23"/>
      <c r="OI141" s="26"/>
      <c r="OJ141" s="26"/>
      <c r="OK141" s="26"/>
      <c r="OL141" s="26"/>
      <c r="OM141" s="26"/>
      <c r="ON141" s="26"/>
      <c r="OO141" s="26"/>
      <c r="OP141" s="26"/>
      <c r="OQ141" s="26"/>
      <c r="OR141" s="26"/>
      <c r="OS141" s="26"/>
      <c r="OT141" s="26"/>
      <c r="OU141" s="26"/>
      <c r="OV141" s="26"/>
      <c r="OW141" s="26"/>
      <c r="OX141" s="26"/>
      <c r="OY141" s="26"/>
      <c r="OZ141" s="26"/>
      <c r="PA141" s="26"/>
      <c r="PB141" s="26"/>
      <c r="PC141" s="26"/>
      <c r="PD141" s="26"/>
      <c r="PE141" s="26"/>
      <c r="PF141" s="26"/>
      <c r="PG141" s="26"/>
      <c r="PH141" s="26"/>
      <c r="PI141" s="26"/>
      <c r="PJ141" s="26"/>
      <c r="PK141" s="26"/>
      <c r="PL141" s="26"/>
      <c r="PM141" s="26"/>
      <c r="PN141" s="26"/>
      <c r="PO141" s="26"/>
      <c r="PP141" s="26"/>
      <c r="PQ141" s="26"/>
      <c r="PR141" s="26"/>
      <c r="PS141" s="26"/>
      <c r="PT141" s="26"/>
    </row>
    <row r="142" spans="1:436" ht="15.75" thickBot="1" x14ac:dyDescent="0.3">
      <c r="A142" s="24"/>
      <c r="B142" s="25"/>
      <c r="C142" s="25"/>
      <c r="D142" s="25"/>
      <c r="E142" s="24"/>
      <c r="F142" s="24"/>
      <c r="G142" s="24"/>
      <c r="H142" s="23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3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3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3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3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6"/>
      <c r="GT142" s="26"/>
      <c r="GU142" s="23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6"/>
      <c r="IG142" s="26"/>
      <c r="IH142" s="23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  <c r="JD142" s="26"/>
      <c r="JE142" s="26"/>
      <c r="JF142" s="26"/>
      <c r="JG142" s="26"/>
      <c r="JH142" s="26"/>
      <c r="JI142" s="26"/>
      <c r="JJ142" s="26"/>
      <c r="JK142" s="26"/>
      <c r="JL142" s="26"/>
      <c r="JM142" s="26"/>
      <c r="JN142" s="26"/>
      <c r="JO142" s="26"/>
      <c r="JP142" s="26"/>
      <c r="JQ142" s="26"/>
      <c r="JR142" s="26"/>
      <c r="JS142" s="26"/>
      <c r="JT142" s="26"/>
      <c r="JU142" s="23"/>
      <c r="JV142" s="26"/>
      <c r="JW142" s="26"/>
      <c r="JX142" s="26"/>
      <c r="JY142" s="26"/>
      <c r="JZ142" s="26"/>
      <c r="KA142" s="26"/>
      <c r="KB142" s="26"/>
      <c r="KC142" s="26"/>
      <c r="KD142" s="26"/>
      <c r="KE142" s="26"/>
      <c r="KF142" s="26"/>
      <c r="KG142" s="26"/>
      <c r="KH142" s="26"/>
      <c r="KI142" s="26"/>
      <c r="KJ142" s="26"/>
      <c r="KK142" s="26"/>
      <c r="KL142" s="26"/>
      <c r="KM142" s="26"/>
      <c r="KN142" s="26"/>
      <c r="KO142" s="26"/>
      <c r="KP142" s="26"/>
      <c r="KQ142" s="26"/>
      <c r="KR142" s="26"/>
      <c r="KS142" s="26"/>
      <c r="KT142" s="26"/>
      <c r="KU142" s="26"/>
      <c r="KV142" s="26"/>
      <c r="KW142" s="26"/>
      <c r="KX142" s="26"/>
      <c r="KY142" s="26"/>
      <c r="KZ142" s="26"/>
      <c r="LA142" s="26"/>
      <c r="LB142" s="26"/>
      <c r="LC142" s="26"/>
      <c r="LD142" s="26"/>
      <c r="LE142" s="26"/>
      <c r="LF142" s="26"/>
      <c r="LG142" s="26"/>
      <c r="LH142" s="23"/>
      <c r="LI142" s="26"/>
      <c r="LJ142" s="26"/>
      <c r="LK142" s="26"/>
      <c r="LL142" s="26"/>
      <c r="LM142" s="26"/>
      <c r="LN142" s="26"/>
      <c r="LO142" s="26"/>
      <c r="LP142" s="26"/>
      <c r="LQ142" s="26"/>
      <c r="LR142" s="26"/>
      <c r="LS142" s="26"/>
      <c r="LT142" s="26"/>
      <c r="LU142" s="26"/>
      <c r="LV142" s="26"/>
      <c r="LW142" s="26"/>
      <c r="LX142" s="26"/>
      <c r="LY142" s="26"/>
      <c r="LZ142" s="26"/>
      <c r="MA142" s="26"/>
      <c r="MB142" s="26"/>
      <c r="MC142" s="26"/>
      <c r="MD142" s="26"/>
      <c r="ME142" s="26"/>
      <c r="MF142" s="26"/>
      <c r="MG142" s="26"/>
      <c r="MH142" s="26"/>
      <c r="MI142" s="26"/>
      <c r="MJ142" s="26"/>
      <c r="MK142" s="26"/>
      <c r="ML142" s="26"/>
      <c r="MM142" s="26"/>
      <c r="MN142" s="26"/>
      <c r="MO142" s="26"/>
      <c r="MP142" s="26"/>
      <c r="MQ142" s="26"/>
      <c r="MR142" s="26"/>
      <c r="MS142" s="26"/>
      <c r="MT142" s="26"/>
      <c r="MU142" s="23"/>
      <c r="MV142" s="26"/>
      <c r="MW142" s="26"/>
      <c r="MX142" s="26"/>
      <c r="MY142" s="26"/>
      <c r="MZ142" s="26"/>
      <c r="NA142" s="26"/>
      <c r="NB142" s="26"/>
      <c r="NC142" s="26"/>
      <c r="ND142" s="26"/>
      <c r="NE142" s="26"/>
      <c r="NF142" s="26"/>
      <c r="NG142" s="26"/>
      <c r="NH142" s="26"/>
      <c r="NI142" s="26"/>
      <c r="NJ142" s="26"/>
      <c r="NK142" s="26"/>
      <c r="NL142" s="26"/>
      <c r="NM142" s="26"/>
      <c r="NN142" s="26"/>
      <c r="NO142" s="26"/>
      <c r="NP142" s="26"/>
      <c r="NQ142" s="26"/>
      <c r="NR142" s="26"/>
      <c r="NS142" s="26"/>
      <c r="NT142" s="26"/>
      <c r="NU142" s="26"/>
      <c r="NV142" s="26"/>
      <c r="NW142" s="26"/>
      <c r="NX142" s="26"/>
      <c r="NY142" s="26"/>
      <c r="NZ142" s="26"/>
      <c r="OA142" s="26"/>
      <c r="OB142" s="26"/>
      <c r="OC142" s="26"/>
      <c r="OD142" s="26"/>
      <c r="OE142" s="26"/>
      <c r="OF142" s="26"/>
      <c r="OG142" s="26"/>
      <c r="OH142" s="23"/>
      <c r="OI142" s="26"/>
      <c r="OJ142" s="26"/>
      <c r="OK142" s="26"/>
      <c r="OL142" s="26"/>
      <c r="OM142" s="26"/>
      <c r="ON142" s="26"/>
      <c r="OO142" s="26"/>
      <c r="OP142" s="26"/>
      <c r="OQ142" s="26"/>
      <c r="OR142" s="26"/>
      <c r="OS142" s="26"/>
      <c r="OT142" s="26"/>
      <c r="OU142" s="26"/>
      <c r="OV142" s="26"/>
      <c r="OW142" s="26"/>
      <c r="OX142" s="26"/>
      <c r="OY142" s="26"/>
      <c r="OZ142" s="26"/>
      <c r="PA142" s="26"/>
      <c r="PB142" s="26"/>
      <c r="PC142" s="26"/>
      <c r="PD142" s="26"/>
      <c r="PE142" s="26"/>
      <c r="PF142" s="26"/>
      <c r="PG142" s="26"/>
      <c r="PH142" s="26"/>
      <c r="PI142" s="26"/>
      <c r="PJ142" s="26"/>
      <c r="PK142" s="26"/>
      <c r="PL142" s="26"/>
      <c r="PM142" s="26"/>
      <c r="PN142" s="26"/>
      <c r="PO142" s="26"/>
      <c r="PP142" s="26"/>
      <c r="PQ142" s="26"/>
      <c r="PR142" s="26"/>
      <c r="PS142" s="26"/>
      <c r="PT142" s="26"/>
    </row>
    <row r="143" spans="1:436" ht="15.75" thickBot="1" x14ac:dyDescent="0.3">
      <c r="A143" s="24"/>
      <c r="B143" s="25"/>
      <c r="C143" s="25"/>
      <c r="D143" s="25"/>
      <c r="E143" s="24"/>
      <c r="F143" s="24"/>
      <c r="G143" s="24"/>
      <c r="H143" s="23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3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3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3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3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  <c r="GR143" s="26"/>
      <c r="GS143" s="26"/>
      <c r="GT143" s="26"/>
      <c r="GU143" s="23"/>
      <c r="GV143" s="26"/>
      <c r="GW143" s="26"/>
      <c r="GX143" s="26"/>
      <c r="GY143" s="26"/>
      <c r="GZ143" s="26"/>
      <c r="HA143" s="26"/>
      <c r="HB143" s="26"/>
      <c r="HC143" s="26"/>
      <c r="HD143" s="26"/>
      <c r="HE143" s="26"/>
      <c r="HF143" s="26"/>
      <c r="HG143" s="26"/>
      <c r="HH143" s="26"/>
      <c r="HI143" s="26"/>
      <c r="HJ143" s="26"/>
      <c r="HK143" s="26"/>
      <c r="HL143" s="26"/>
      <c r="HM143" s="26"/>
      <c r="HN143" s="26"/>
      <c r="HO143" s="26"/>
      <c r="HP143" s="26"/>
      <c r="HQ143" s="26"/>
      <c r="HR143" s="26"/>
      <c r="HS143" s="26"/>
      <c r="HT143" s="26"/>
      <c r="HU143" s="26"/>
      <c r="HV143" s="26"/>
      <c r="HW143" s="26"/>
      <c r="HX143" s="26"/>
      <c r="HY143" s="26"/>
      <c r="HZ143" s="26"/>
      <c r="IA143" s="26"/>
      <c r="IB143" s="26"/>
      <c r="IC143" s="26"/>
      <c r="ID143" s="26"/>
      <c r="IE143" s="26"/>
      <c r="IF143" s="26"/>
      <c r="IG143" s="26"/>
      <c r="IH143" s="23"/>
      <c r="II143" s="26"/>
      <c r="IJ143" s="26"/>
      <c r="IK143" s="26"/>
      <c r="IL143" s="26"/>
      <c r="IM143" s="26"/>
      <c r="IN143" s="26"/>
      <c r="IO143" s="26"/>
      <c r="IP143" s="26"/>
      <c r="IQ143" s="26"/>
      <c r="IR143" s="26"/>
      <c r="IS143" s="26"/>
      <c r="IT143" s="26"/>
      <c r="IU143" s="26"/>
      <c r="IV143" s="26"/>
      <c r="IW143" s="26"/>
      <c r="IX143" s="26"/>
      <c r="IY143" s="26"/>
      <c r="IZ143" s="26"/>
      <c r="JA143" s="26"/>
      <c r="JB143" s="26"/>
      <c r="JC143" s="26"/>
      <c r="JD143" s="26"/>
      <c r="JE143" s="26"/>
      <c r="JF143" s="26"/>
      <c r="JG143" s="26"/>
      <c r="JH143" s="26"/>
      <c r="JI143" s="26"/>
      <c r="JJ143" s="26"/>
      <c r="JK143" s="26"/>
      <c r="JL143" s="26"/>
      <c r="JM143" s="26"/>
      <c r="JN143" s="26"/>
      <c r="JO143" s="26"/>
      <c r="JP143" s="26"/>
      <c r="JQ143" s="26"/>
      <c r="JR143" s="26"/>
      <c r="JS143" s="26"/>
      <c r="JT143" s="26"/>
      <c r="JU143" s="23"/>
      <c r="JV143" s="26"/>
      <c r="JW143" s="26"/>
      <c r="JX143" s="26"/>
      <c r="JY143" s="26"/>
      <c r="JZ143" s="26"/>
      <c r="KA143" s="26"/>
      <c r="KB143" s="26"/>
      <c r="KC143" s="26"/>
      <c r="KD143" s="26"/>
      <c r="KE143" s="26"/>
      <c r="KF143" s="26"/>
      <c r="KG143" s="26"/>
      <c r="KH143" s="26"/>
      <c r="KI143" s="26"/>
      <c r="KJ143" s="26"/>
      <c r="KK143" s="26"/>
      <c r="KL143" s="26"/>
      <c r="KM143" s="26"/>
      <c r="KN143" s="26"/>
      <c r="KO143" s="26"/>
      <c r="KP143" s="26"/>
      <c r="KQ143" s="26"/>
      <c r="KR143" s="26"/>
      <c r="KS143" s="26"/>
      <c r="KT143" s="26"/>
      <c r="KU143" s="26"/>
      <c r="KV143" s="26"/>
      <c r="KW143" s="26"/>
      <c r="KX143" s="26"/>
      <c r="KY143" s="26"/>
      <c r="KZ143" s="26"/>
      <c r="LA143" s="26"/>
      <c r="LB143" s="26"/>
      <c r="LC143" s="26"/>
      <c r="LD143" s="26"/>
      <c r="LE143" s="26"/>
      <c r="LF143" s="26"/>
      <c r="LG143" s="26"/>
      <c r="LH143" s="23"/>
      <c r="LI143" s="26"/>
      <c r="LJ143" s="26"/>
      <c r="LK143" s="26"/>
      <c r="LL143" s="26"/>
      <c r="LM143" s="26"/>
      <c r="LN143" s="26"/>
      <c r="LO143" s="26"/>
      <c r="LP143" s="26"/>
      <c r="LQ143" s="26"/>
      <c r="LR143" s="26"/>
      <c r="LS143" s="26"/>
      <c r="LT143" s="26"/>
      <c r="LU143" s="26"/>
      <c r="LV143" s="26"/>
      <c r="LW143" s="26"/>
      <c r="LX143" s="26"/>
      <c r="LY143" s="26"/>
      <c r="LZ143" s="26"/>
      <c r="MA143" s="26"/>
      <c r="MB143" s="26"/>
      <c r="MC143" s="26"/>
      <c r="MD143" s="26"/>
      <c r="ME143" s="26"/>
      <c r="MF143" s="26"/>
      <c r="MG143" s="26"/>
      <c r="MH143" s="26"/>
      <c r="MI143" s="26"/>
      <c r="MJ143" s="26"/>
      <c r="MK143" s="26"/>
      <c r="ML143" s="26"/>
      <c r="MM143" s="26"/>
      <c r="MN143" s="26"/>
      <c r="MO143" s="26"/>
      <c r="MP143" s="26"/>
      <c r="MQ143" s="26"/>
      <c r="MR143" s="26"/>
      <c r="MS143" s="26"/>
      <c r="MT143" s="26"/>
      <c r="MU143" s="23"/>
      <c r="MV143" s="26"/>
      <c r="MW143" s="26"/>
      <c r="MX143" s="26"/>
      <c r="MY143" s="26"/>
      <c r="MZ143" s="26"/>
      <c r="NA143" s="26"/>
      <c r="NB143" s="26"/>
      <c r="NC143" s="26"/>
      <c r="ND143" s="26"/>
      <c r="NE143" s="26"/>
      <c r="NF143" s="26"/>
      <c r="NG143" s="26"/>
      <c r="NH143" s="26"/>
      <c r="NI143" s="26"/>
      <c r="NJ143" s="26"/>
      <c r="NK143" s="26"/>
      <c r="NL143" s="26"/>
      <c r="NM143" s="26"/>
      <c r="NN143" s="26"/>
      <c r="NO143" s="26"/>
      <c r="NP143" s="26"/>
      <c r="NQ143" s="26"/>
      <c r="NR143" s="26"/>
      <c r="NS143" s="26"/>
      <c r="NT143" s="26"/>
      <c r="NU143" s="26"/>
      <c r="NV143" s="26"/>
      <c r="NW143" s="26"/>
      <c r="NX143" s="26"/>
      <c r="NY143" s="26"/>
      <c r="NZ143" s="26"/>
      <c r="OA143" s="26"/>
      <c r="OB143" s="26"/>
      <c r="OC143" s="26"/>
      <c r="OD143" s="26"/>
      <c r="OE143" s="26"/>
      <c r="OF143" s="26"/>
      <c r="OG143" s="26"/>
      <c r="OH143" s="23"/>
      <c r="OI143" s="26"/>
      <c r="OJ143" s="26"/>
      <c r="OK143" s="26"/>
      <c r="OL143" s="26"/>
      <c r="OM143" s="26"/>
      <c r="ON143" s="26"/>
      <c r="OO143" s="26"/>
      <c r="OP143" s="26"/>
      <c r="OQ143" s="26"/>
      <c r="OR143" s="26"/>
      <c r="OS143" s="26"/>
      <c r="OT143" s="26"/>
      <c r="OU143" s="26"/>
      <c r="OV143" s="26"/>
      <c r="OW143" s="26"/>
      <c r="OX143" s="26"/>
      <c r="OY143" s="26"/>
      <c r="OZ143" s="26"/>
      <c r="PA143" s="26"/>
      <c r="PB143" s="26"/>
      <c r="PC143" s="26"/>
      <c r="PD143" s="26"/>
      <c r="PE143" s="26"/>
      <c r="PF143" s="26"/>
      <c r="PG143" s="26"/>
      <c r="PH143" s="26"/>
      <c r="PI143" s="26"/>
      <c r="PJ143" s="26"/>
      <c r="PK143" s="26"/>
      <c r="PL143" s="26"/>
      <c r="PM143" s="26"/>
      <c r="PN143" s="26"/>
      <c r="PO143" s="26"/>
      <c r="PP143" s="26"/>
      <c r="PQ143" s="26"/>
      <c r="PR143" s="26"/>
      <c r="PS143" s="26"/>
      <c r="PT143" s="26"/>
    </row>
    <row r="144" spans="1:436" ht="15.75" thickBot="1" x14ac:dyDescent="0.3">
      <c r="A144" s="24"/>
      <c r="B144" s="25"/>
      <c r="C144" s="25"/>
      <c r="D144" s="25"/>
      <c r="E144" s="24"/>
      <c r="F144" s="24"/>
      <c r="G144" s="24"/>
      <c r="H144" s="23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3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3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3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3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3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6"/>
      <c r="IG144" s="26"/>
      <c r="IH144" s="23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  <c r="JD144" s="26"/>
      <c r="JE144" s="26"/>
      <c r="JF144" s="26"/>
      <c r="JG144" s="26"/>
      <c r="JH144" s="26"/>
      <c r="JI144" s="26"/>
      <c r="JJ144" s="26"/>
      <c r="JK144" s="26"/>
      <c r="JL144" s="26"/>
      <c r="JM144" s="26"/>
      <c r="JN144" s="26"/>
      <c r="JO144" s="26"/>
      <c r="JP144" s="26"/>
      <c r="JQ144" s="26"/>
      <c r="JR144" s="26"/>
      <c r="JS144" s="26"/>
      <c r="JT144" s="26"/>
      <c r="JU144" s="23"/>
      <c r="JV144" s="26"/>
      <c r="JW144" s="26"/>
      <c r="JX144" s="26"/>
      <c r="JY144" s="26"/>
      <c r="JZ144" s="26"/>
      <c r="KA144" s="26"/>
      <c r="KB144" s="26"/>
      <c r="KC144" s="26"/>
      <c r="KD144" s="26"/>
      <c r="KE144" s="26"/>
      <c r="KF144" s="26"/>
      <c r="KG144" s="26"/>
      <c r="KH144" s="26"/>
      <c r="KI144" s="26"/>
      <c r="KJ144" s="26"/>
      <c r="KK144" s="26"/>
      <c r="KL144" s="26"/>
      <c r="KM144" s="26"/>
      <c r="KN144" s="26"/>
      <c r="KO144" s="26"/>
      <c r="KP144" s="26"/>
      <c r="KQ144" s="26"/>
      <c r="KR144" s="26"/>
      <c r="KS144" s="26"/>
      <c r="KT144" s="26"/>
      <c r="KU144" s="26"/>
      <c r="KV144" s="26"/>
      <c r="KW144" s="26"/>
      <c r="KX144" s="26"/>
      <c r="KY144" s="26"/>
      <c r="KZ144" s="26"/>
      <c r="LA144" s="26"/>
      <c r="LB144" s="26"/>
      <c r="LC144" s="26"/>
      <c r="LD144" s="26"/>
      <c r="LE144" s="26"/>
      <c r="LF144" s="26"/>
      <c r="LG144" s="26"/>
      <c r="LH144" s="23"/>
      <c r="LI144" s="26"/>
      <c r="LJ144" s="26"/>
      <c r="LK144" s="26"/>
      <c r="LL144" s="26"/>
      <c r="LM144" s="26"/>
      <c r="LN144" s="26"/>
      <c r="LO144" s="26"/>
      <c r="LP144" s="26"/>
      <c r="LQ144" s="26"/>
      <c r="LR144" s="26"/>
      <c r="LS144" s="26"/>
      <c r="LT144" s="26"/>
      <c r="LU144" s="26"/>
      <c r="LV144" s="26"/>
      <c r="LW144" s="26"/>
      <c r="LX144" s="26"/>
      <c r="LY144" s="26"/>
      <c r="LZ144" s="26"/>
      <c r="MA144" s="26"/>
      <c r="MB144" s="26"/>
      <c r="MC144" s="26"/>
      <c r="MD144" s="26"/>
      <c r="ME144" s="26"/>
      <c r="MF144" s="26"/>
      <c r="MG144" s="26"/>
      <c r="MH144" s="26"/>
      <c r="MI144" s="26"/>
      <c r="MJ144" s="26"/>
      <c r="MK144" s="26"/>
      <c r="ML144" s="26"/>
      <c r="MM144" s="26"/>
      <c r="MN144" s="26"/>
      <c r="MO144" s="26"/>
      <c r="MP144" s="26"/>
      <c r="MQ144" s="26"/>
      <c r="MR144" s="26"/>
      <c r="MS144" s="26"/>
      <c r="MT144" s="26"/>
      <c r="MU144" s="23"/>
      <c r="MV144" s="26"/>
      <c r="MW144" s="26"/>
      <c r="MX144" s="26"/>
      <c r="MY144" s="26"/>
      <c r="MZ144" s="26"/>
      <c r="NA144" s="26"/>
      <c r="NB144" s="26"/>
      <c r="NC144" s="26"/>
      <c r="ND144" s="26"/>
      <c r="NE144" s="26"/>
      <c r="NF144" s="26"/>
      <c r="NG144" s="26"/>
      <c r="NH144" s="26"/>
      <c r="NI144" s="26"/>
      <c r="NJ144" s="26"/>
      <c r="NK144" s="26"/>
      <c r="NL144" s="26"/>
      <c r="NM144" s="26"/>
      <c r="NN144" s="26"/>
      <c r="NO144" s="26"/>
      <c r="NP144" s="26"/>
      <c r="NQ144" s="26"/>
      <c r="NR144" s="26"/>
      <c r="NS144" s="26"/>
      <c r="NT144" s="26"/>
      <c r="NU144" s="26"/>
      <c r="NV144" s="26"/>
      <c r="NW144" s="26"/>
      <c r="NX144" s="26"/>
      <c r="NY144" s="26"/>
      <c r="NZ144" s="26"/>
      <c r="OA144" s="26"/>
      <c r="OB144" s="26"/>
      <c r="OC144" s="26"/>
      <c r="OD144" s="26"/>
      <c r="OE144" s="26"/>
      <c r="OF144" s="26"/>
      <c r="OG144" s="26"/>
      <c r="OH144" s="23"/>
      <c r="OI144" s="26"/>
      <c r="OJ144" s="26"/>
      <c r="OK144" s="26"/>
      <c r="OL144" s="26"/>
      <c r="OM144" s="26"/>
      <c r="ON144" s="26"/>
      <c r="OO144" s="26"/>
      <c r="OP144" s="26"/>
      <c r="OQ144" s="26"/>
      <c r="OR144" s="26"/>
      <c r="OS144" s="26"/>
      <c r="OT144" s="26"/>
      <c r="OU144" s="26"/>
      <c r="OV144" s="26"/>
      <c r="OW144" s="26"/>
      <c r="OX144" s="26"/>
      <c r="OY144" s="26"/>
      <c r="OZ144" s="26"/>
      <c r="PA144" s="26"/>
      <c r="PB144" s="26"/>
      <c r="PC144" s="26"/>
      <c r="PD144" s="26"/>
      <c r="PE144" s="26"/>
      <c r="PF144" s="26"/>
      <c r="PG144" s="26"/>
      <c r="PH144" s="26"/>
      <c r="PI144" s="26"/>
      <c r="PJ144" s="26"/>
      <c r="PK144" s="26"/>
      <c r="PL144" s="26"/>
      <c r="PM144" s="26"/>
      <c r="PN144" s="26"/>
      <c r="PO144" s="26"/>
      <c r="PP144" s="26"/>
      <c r="PQ144" s="26"/>
      <c r="PR144" s="26"/>
      <c r="PS144" s="26"/>
      <c r="PT144" s="26"/>
    </row>
    <row r="145" spans="1:436" ht="15.75" thickBot="1" x14ac:dyDescent="0.3">
      <c r="A145" s="24"/>
      <c r="B145" s="25"/>
      <c r="C145" s="25"/>
      <c r="D145" s="25"/>
      <c r="E145" s="24"/>
      <c r="F145" s="24"/>
      <c r="G145" s="24"/>
      <c r="H145" s="23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3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3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3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3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6"/>
      <c r="GT145" s="26"/>
      <c r="GU145" s="23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6"/>
      <c r="IG145" s="26"/>
      <c r="IH145" s="23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  <c r="JD145" s="26"/>
      <c r="JE145" s="26"/>
      <c r="JF145" s="26"/>
      <c r="JG145" s="26"/>
      <c r="JH145" s="26"/>
      <c r="JI145" s="26"/>
      <c r="JJ145" s="26"/>
      <c r="JK145" s="26"/>
      <c r="JL145" s="26"/>
      <c r="JM145" s="26"/>
      <c r="JN145" s="26"/>
      <c r="JO145" s="26"/>
      <c r="JP145" s="26"/>
      <c r="JQ145" s="26"/>
      <c r="JR145" s="26"/>
      <c r="JS145" s="26"/>
      <c r="JT145" s="26"/>
      <c r="JU145" s="23"/>
      <c r="JV145" s="26"/>
      <c r="JW145" s="26"/>
      <c r="JX145" s="26"/>
      <c r="JY145" s="26"/>
      <c r="JZ145" s="26"/>
      <c r="KA145" s="26"/>
      <c r="KB145" s="26"/>
      <c r="KC145" s="26"/>
      <c r="KD145" s="26"/>
      <c r="KE145" s="26"/>
      <c r="KF145" s="26"/>
      <c r="KG145" s="26"/>
      <c r="KH145" s="26"/>
      <c r="KI145" s="26"/>
      <c r="KJ145" s="26"/>
      <c r="KK145" s="26"/>
      <c r="KL145" s="26"/>
      <c r="KM145" s="26"/>
      <c r="KN145" s="26"/>
      <c r="KO145" s="26"/>
      <c r="KP145" s="26"/>
      <c r="KQ145" s="26"/>
      <c r="KR145" s="26"/>
      <c r="KS145" s="26"/>
      <c r="KT145" s="26"/>
      <c r="KU145" s="26"/>
      <c r="KV145" s="26"/>
      <c r="KW145" s="26"/>
      <c r="KX145" s="26"/>
      <c r="KY145" s="26"/>
      <c r="KZ145" s="26"/>
      <c r="LA145" s="26"/>
      <c r="LB145" s="26"/>
      <c r="LC145" s="26"/>
      <c r="LD145" s="26"/>
      <c r="LE145" s="26"/>
      <c r="LF145" s="26"/>
      <c r="LG145" s="26"/>
      <c r="LH145" s="23"/>
      <c r="LI145" s="26"/>
      <c r="LJ145" s="26"/>
      <c r="LK145" s="26"/>
      <c r="LL145" s="26"/>
      <c r="LM145" s="26"/>
      <c r="LN145" s="26"/>
      <c r="LO145" s="26"/>
      <c r="LP145" s="26"/>
      <c r="LQ145" s="26"/>
      <c r="LR145" s="26"/>
      <c r="LS145" s="26"/>
      <c r="LT145" s="26"/>
      <c r="LU145" s="26"/>
      <c r="LV145" s="26"/>
      <c r="LW145" s="26"/>
      <c r="LX145" s="26"/>
      <c r="LY145" s="26"/>
      <c r="LZ145" s="26"/>
      <c r="MA145" s="26"/>
      <c r="MB145" s="26"/>
      <c r="MC145" s="26"/>
      <c r="MD145" s="26"/>
      <c r="ME145" s="26"/>
      <c r="MF145" s="26"/>
      <c r="MG145" s="26"/>
      <c r="MH145" s="26"/>
      <c r="MI145" s="26"/>
      <c r="MJ145" s="26"/>
      <c r="MK145" s="26"/>
      <c r="ML145" s="26"/>
      <c r="MM145" s="26"/>
      <c r="MN145" s="26"/>
      <c r="MO145" s="26"/>
      <c r="MP145" s="26"/>
      <c r="MQ145" s="26"/>
      <c r="MR145" s="26"/>
      <c r="MS145" s="26"/>
      <c r="MT145" s="26"/>
      <c r="MU145" s="23"/>
      <c r="MV145" s="26"/>
      <c r="MW145" s="26"/>
      <c r="MX145" s="26"/>
      <c r="MY145" s="26"/>
      <c r="MZ145" s="26"/>
      <c r="NA145" s="26"/>
      <c r="NB145" s="26"/>
      <c r="NC145" s="26"/>
      <c r="ND145" s="26"/>
      <c r="NE145" s="26"/>
      <c r="NF145" s="26"/>
      <c r="NG145" s="26"/>
      <c r="NH145" s="26"/>
      <c r="NI145" s="26"/>
      <c r="NJ145" s="26"/>
      <c r="NK145" s="26"/>
      <c r="NL145" s="26"/>
      <c r="NM145" s="26"/>
      <c r="NN145" s="26"/>
      <c r="NO145" s="26"/>
      <c r="NP145" s="26"/>
      <c r="NQ145" s="26"/>
      <c r="NR145" s="26"/>
      <c r="NS145" s="26"/>
      <c r="NT145" s="26"/>
      <c r="NU145" s="26"/>
      <c r="NV145" s="26"/>
      <c r="NW145" s="26"/>
      <c r="NX145" s="26"/>
      <c r="NY145" s="26"/>
      <c r="NZ145" s="26"/>
      <c r="OA145" s="26"/>
      <c r="OB145" s="26"/>
      <c r="OC145" s="26"/>
      <c r="OD145" s="26"/>
      <c r="OE145" s="26"/>
      <c r="OF145" s="26"/>
      <c r="OG145" s="26"/>
      <c r="OH145" s="23"/>
      <c r="OI145" s="26"/>
      <c r="OJ145" s="26"/>
      <c r="OK145" s="26"/>
      <c r="OL145" s="26"/>
      <c r="OM145" s="26"/>
      <c r="ON145" s="26"/>
      <c r="OO145" s="26"/>
      <c r="OP145" s="26"/>
      <c r="OQ145" s="26"/>
      <c r="OR145" s="26"/>
      <c r="OS145" s="26"/>
      <c r="OT145" s="26"/>
      <c r="OU145" s="26"/>
      <c r="OV145" s="26"/>
      <c r="OW145" s="26"/>
      <c r="OX145" s="26"/>
      <c r="OY145" s="26"/>
      <c r="OZ145" s="26"/>
      <c r="PA145" s="26"/>
      <c r="PB145" s="26"/>
      <c r="PC145" s="26"/>
      <c r="PD145" s="26"/>
      <c r="PE145" s="26"/>
      <c r="PF145" s="26"/>
      <c r="PG145" s="26"/>
      <c r="PH145" s="26"/>
      <c r="PI145" s="26"/>
      <c r="PJ145" s="26"/>
      <c r="PK145" s="26"/>
      <c r="PL145" s="26"/>
      <c r="PM145" s="26"/>
      <c r="PN145" s="26"/>
      <c r="PO145" s="26"/>
      <c r="PP145" s="26"/>
      <c r="PQ145" s="26"/>
      <c r="PR145" s="26"/>
      <c r="PS145" s="26"/>
      <c r="PT145" s="26"/>
    </row>
    <row r="146" spans="1:436" ht="21.95" customHeight="1" thickBot="1" x14ac:dyDescent="0.3">
      <c r="A146" s="87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  <c r="FU146" s="88"/>
      <c r="FV146" s="88"/>
      <c r="FW146" s="88"/>
      <c r="FX146" s="88"/>
      <c r="FY146" s="88"/>
      <c r="FZ146" s="88"/>
      <c r="GA146" s="88"/>
      <c r="GB146" s="88"/>
      <c r="GC146" s="88"/>
      <c r="GD146" s="88"/>
      <c r="GE146" s="88"/>
      <c r="GF146" s="88"/>
      <c r="GG146" s="88"/>
      <c r="GH146" s="88"/>
      <c r="GI146" s="88"/>
      <c r="GJ146" s="88"/>
      <c r="GK146" s="88"/>
      <c r="GL146" s="88"/>
      <c r="GM146" s="88"/>
      <c r="GN146" s="88"/>
      <c r="GO146" s="88"/>
      <c r="GP146" s="88"/>
      <c r="GQ146" s="88"/>
      <c r="GR146" s="88"/>
      <c r="GS146" s="88"/>
      <c r="GT146" s="88"/>
      <c r="GU146" s="88"/>
      <c r="GV146" s="88"/>
      <c r="GW146" s="88"/>
      <c r="GX146" s="88"/>
      <c r="GY146" s="88"/>
      <c r="GZ146" s="88"/>
      <c r="HA146" s="88"/>
      <c r="HB146" s="88"/>
      <c r="HC146" s="88"/>
      <c r="HD146" s="88"/>
      <c r="HE146" s="88"/>
      <c r="HF146" s="88"/>
      <c r="HG146" s="88"/>
      <c r="HH146" s="88"/>
      <c r="HI146" s="88"/>
      <c r="HJ146" s="88"/>
      <c r="HK146" s="88"/>
      <c r="HL146" s="88"/>
      <c r="HM146" s="88"/>
      <c r="HN146" s="88"/>
      <c r="HO146" s="88"/>
      <c r="HP146" s="88"/>
      <c r="HQ146" s="88"/>
      <c r="HR146" s="88"/>
      <c r="HS146" s="88"/>
      <c r="HT146" s="88"/>
      <c r="HU146" s="88"/>
      <c r="HV146" s="88"/>
      <c r="HW146" s="88"/>
      <c r="HX146" s="88"/>
      <c r="HY146" s="88"/>
      <c r="HZ146" s="88"/>
      <c r="IA146" s="88"/>
      <c r="IB146" s="88"/>
      <c r="IC146" s="88"/>
      <c r="ID146" s="88"/>
      <c r="IE146" s="88"/>
      <c r="IF146" s="88"/>
      <c r="IG146" s="88"/>
      <c r="IH146" s="88"/>
      <c r="II146" s="88"/>
      <c r="IJ146" s="88"/>
      <c r="IK146" s="88"/>
      <c r="IL146" s="88"/>
      <c r="IM146" s="88"/>
      <c r="IN146" s="88"/>
      <c r="IO146" s="88"/>
      <c r="IP146" s="88"/>
      <c r="IQ146" s="88"/>
      <c r="IR146" s="88"/>
      <c r="IS146" s="88"/>
      <c r="IT146" s="88"/>
      <c r="IU146" s="88"/>
      <c r="IV146" s="88"/>
      <c r="IW146" s="88"/>
      <c r="IX146" s="88"/>
      <c r="IY146" s="88"/>
      <c r="IZ146" s="88"/>
      <c r="JA146" s="88"/>
      <c r="JB146" s="88"/>
      <c r="JC146" s="88"/>
      <c r="JD146" s="88"/>
      <c r="JE146" s="88"/>
      <c r="JF146" s="88"/>
      <c r="JG146" s="88"/>
      <c r="JH146" s="88"/>
      <c r="JI146" s="88"/>
      <c r="JJ146" s="88"/>
      <c r="JK146" s="88"/>
      <c r="JL146" s="88"/>
      <c r="JM146" s="88"/>
      <c r="JN146" s="88"/>
      <c r="JO146" s="88"/>
      <c r="JP146" s="88"/>
      <c r="JQ146" s="88"/>
      <c r="JR146" s="88"/>
      <c r="JS146" s="88"/>
      <c r="JT146" s="88"/>
      <c r="JU146" s="88"/>
      <c r="JV146" s="88"/>
      <c r="JW146" s="88"/>
      <c r="JX146" s="88"/>
      <c r="JY146" s="88"/>
      <c r="JZ146" s="88"/>
      <c r="KA146" s="88"/>
      <c r="KB146" s="88"/>
      <c r="KC146" s="88"/>
      <c r="KD146" s="88"/>
      <c r="KE146" s="88"/>
      <c r="KF146" s="88"/>
      <c r="KG146" s="88"/>
      <c r="KH146" s="88"/>
      <c r="KI146" s="88"/>
      <c r="KJ146" s="88"/>
      <c r="KK146" s="88"/>
      <c r="KL146" s="88"/>
      <c r="KM146" s="88"/>
      <c r="KN146" s="88"/>
      <c r="KO146" s="88"/>
      <c r="KP146" s="88"/>
      <c r="KQ146" s="88"/>
      <c r="KR146" s="88"/>
      <c r="KS146" s="88"/>
      <c r="KT146" s="88"/>
      <c r="KU146" s="88"/>
      <c r="KV146" s="88"/>
      <c r="KW146" s="88"/>
      <c r="KX146" s="88"/>
      <c r="KY146" s="88"/>
      <c r="KZ146" s="88"/>
      <c r="LA146" s="88"/>
      <c r="LB146" s="88"/>
      <c r="LC146" s="88"/>
      <c r="LD146" s="88"/>
      <c r="LE146" s="88"/>
      <c r="LF146" s="88"/>
      <c r="LG146" s="88"/>
      <c r="LH146" s="88"/>
      <c r="LI146" s="88"/>
      <c r="LJ146" s="88"/>
      <c r="LK146" s="88"/>
      <c r="LL146" s="88"/>
      <c r="LM146" s="88"/>
      <c r="LN146" s="88"/>
      <c r="LO146" s="88"/>
      <c r="LP146" s="88"/>
      <c r="LQ146" s="88"/>
      <c r="LR146" s="88"/>
      <c r="LS146" s="88"/>
      <c r="LT146" s="88"/>
      <c r="LU146" s="88"/>
      <c r="LV146" s="88"/>
      <c r="LW146" s="88"/>
      <c r="LX146" s="88"/>
      <c r="LY146" s="88"/>
      <c r="LZ146" s="88"/>
      <c r="MA146" s="88"/>
      <c r="MB146" s="88"/>
      <c r="MC146" s="88"/>
      <c r="MD146" s="88"/>
      <c r="ME146" s="88"/>
      <c r="MF146" s="88"/>
      <c r="MG146" s="88"/>
      <c r="MH146" s="88"/>
      <c r="MI146" s="88"/>
      <c r="MJ146" s="88"/>
      <c r="MK146" s="88"/>
      <c r="ML146" s="88"/>
      <c r="MM146" s="88"/>
      <c r="MN146" s="88"/>
      <c r="MO146" s="88"/>
      <c r="MP146" s="88"/>
      <c r="MQ146" s="88"/>
      <c r="MR146" s="88"/>
      <c r="MS146" s="88"/>
      <c r="MT146" s="88"/>
      <c r="MU146" s="88"/>
      <c r="MV146" s="88"/>
      <c r="MW146" s="88"/>
      <c r="MX146" s="88"/>
      <c r="MY146" s="88"/>
      <c r="MZ146" s="88"/>
      <c r="NA146" s="88"/>
      <c r="NB146" s="88"/>
      <c r="NC146" s="88"/>
      <c r="ND146" s="88"/>
      <c r="NE146" s="88"/>
      <c r="NF146" s="88"/>
      <c r="NG146" s="88"/>
      <c r="NH146" s="88"/>
      <c r="NI146" s="88"/>
      <c r="NJ146" s="88"/>
      <c r="NK146" s="88"/>
      <c r="NL146" s="88"/>
      <c r="NM146" s="88"/>
      <c r="NN146" s="88"/>
      <c r="NO146" s="88"/>
      <c r="NP146" s="88"/>
      <c r="NQ146" s="88"/>
      <c r="NR146" s="88"/>
      <c r="NS146" s="88"/>
      <c r="NT146" s="88"/>
      <c r="NU146" s="88"/>
      <c r="NV146" s="88"/>
      <c r="NW146" s="88"/>
      <c r="NX146" s="88"/>
      <c r="NY146" s="88"/>
      <c r="NZ146" s="88"/>
      <c r="OA146" s="88"/>
      <c r="OB146" s="88"/>
      <c r="OC146" s="88"/>
      <c r="OD146" s="88"/>
      <c r="OE146" s="88"/>
      <c r="OF146" s="88"/>
      <c r="OG146" s="88"/>
      <c r="OH146" s="88"/>
      <c r="OI146" s="88"/>
      <c r="OJ146" s="88"/>
      <c r="OK146" s="88"/>
      <c r="OL146" s="88"/>
      <c r="OM146" s="88"/>
      <c r="ON146" s="88"/>
      <c r="OO146" s="88"/>
      <c r="OP146" s="88"/>
      <c r="OQ146" s="88"/>
      <c r="OR146" s="88"/>
      <c r="OS146" s="88"/>
      <c r="OT146" s="88"/>
      <c r="OU146" s="88"/>
      <c r="OV146" s="88"/>
      <c r="OW146" s="88"/>
      <c r="OX146" s="88"/>
      <c r="OY146" s="88"/>
      <c r="OZ146" s="88"/>
      <c r="PA146" s="88"/>
      <c r="PB146" s="88"/>
      <c r="PC146" s="88"/>
      <c r="PD146" s="88"/>
      <c r="PE146" s="88"/>
      <c r="PF146" s="88"/>
      <c r="PG146" s="88"/>
      <c r="PH146" s="88"/>
      <c r="PI146" s="88"/>
      <c r="PJ146" s="88"/>
      <c r="PK146" s="88"/>
      <c r="PL146" s="88"/>
      <c r="PM146" s="88"/>
      <c r="PN146" s="88"/>
      <c r="PO146" s="88"/>
      <c r="PP146" s="88"/>
      <c r="PQ146" s="88"/>
      <c r="PR146" s="88"/>
      <c r="PS146" s="88"/>
      <c r="PT146" s="89"/>
    </row>
    <row r="147" spans="1:436" ht="15.75" thickBot="1" x14ac:dyDescent="0.3">
      <c r="A147" s="24"/>
      <c r="B147" s="25"/>
      <c r="C147" s="25"/>
      <c r="D147" s="25"/>
      <c r="E147" s="24"/>
      <c r="F147" s="24"/>
      <c r="G147" s="24"/>
      <c r="H147" s="23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3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3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3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3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6"/>
      <c r="GT147" s="26"/>
      <c r="GU147" s="23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6"/>
      <c r="IG147" s="26"/>
      <c r="IH147" s="23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  <c r="JM147" s="26"/>
      <c r="JN147" s="26"/>
      <c r="JO147" s="26"/>
      <c r="JP147" s="26"/>
      <c r="JQ147" s="26"/>
      <c r="JR147" s="26"/>
      <c r="JS147" s="26"/>
      <c r="JT147" s="26"/>
      <c r="JU147" s="23"/>
      <c r="JV147" s="26"/>
      <c r="JW147" s="26"/>
      <c r="JX147" s="26"/>
      <c r="JY147" s="26"/>
      <c r="JZ147" s="26"/>
      <c r="KA147" s="26"/>
      <c r="KB147" s="26"/>
      <c r="KC147" s="26"/>
      <c r="KD147" s="26"/>
      <c r="KE147" s="26"/>
      <c r="KF147" s="26"/>
      <c r="KG147" s="26"/>
      <c r="KH147" s="26"/>
      <c r="KI147" s="26"/>
      <c r="KJ147" s="26"/>
      <c r="KK147" s="26"/>
      <c r="KL147" s="26"/>
      <c r="KM147" s="26"/>
      <c r="KN147" s="26"/>
      <c r="KO147" s="26"/>
      <c r="KP147" s="26"/>
      <c r="KQ147" s="26"/>
      <c r="KR147" s="26"/>
      <c r="KS147" s="26"/>
      <c r="KT147" s="26"/>
      <c r="KU147" s="26"/>
      <c r="KV147" s="26"/>
      <c r="KW147" s="26"/>
      <c r="KX147" s="26"/>
      <c r="KY147" s="26"/>
      <c r="KZ147" s="26"/>
      <c r="LA147" s="26"/>
      <c r="LB147" s="26"/>
      <c r="LC147" s="26"/>
      <c r="LD147" s="26"/>
      <c r="LE147" s="26"/>
      <c r="LF147" s="26"/>
      <c r="LG147" s="26"/>
      <c r="LH147" s="23"/>
      <c r="LI147" s="26"/>
      <c r="LJ147" s="26"/>
      <c r="LK147" s="26"/>
      <c r="LL147" s="26"/>
      <c r="LM147" s="26"/>
      <c r="LN147" s="26"/>
      <c r="LO147" s="26"/>
      <c r="LP147" s="26"/>
      <c r="LQ147" s="26"/>
      <c r="LR147" s="26"/>
      <c r="LS147" s="26"/>
      <c r="LT147" s="26"/>
      <c r="LU147" s="26"/>
      <c r="LV147" s="26"/>
      <c r="LW147" s="26"/>
      <c r="LX147" s="26"/>
      <c r="LY147" s="26"/>
      <c r="LZ147" s="26"/>
      <c r="MA147" s="26"/>
      <c r="MB147" s="26"/>
      <c r="MC147" s="26"/>
      <c r="MD147" s="26"/>
      <c r="ME147" s="26"/>
      <c r="MF147" s="26"/>
      <c r="MG147" s="26"/>
      <c r="MH147" s="26"/>
      <c r="MI147" s="26"/>
      <c r="MJ147" s="26"/>
      <c r="MK147" s="26"/>
      <c r="ML147" s="26"/>
      <c r="MM147" s="26"/>
      <c r="MN147" s="26"/>
      <c r="MO147" s="26"/>
      <c r="MP147" s="26"/>
      <c r="MQ147" s="26"/>
      <c r="MR147" s="26"/>
      <c r="MS147" s="26"/>
      <c r="MT147" s="26"/>
      <c r="MU147" s="23"/>
      <c r="MV147" s="26"/>
      <c r="MW147" s="26"/>
      <c r="MX147" s="26"/>
      <c r="MY147" s="26"/>
      <c r="MZ147" s="26"/>
      <c r="NA147" s="26"/>
      <c r="NB147" s="26"/>
      <c r="NC147" s="26"/>
      <c r="ND147" s="26"/>
      <c r="NE147" s="26"/>
      <c r="NF147" s="26"/>
      <c r="NG147" s="26"/>
      <c r="NH147" s="26"/>
      <c r="NI147" s="26"/>
      <c r="NJ147" s="26"/>
      <c r="NK147" s="26"/>
      <c r="NL147" s="26"/>
      <c r="NM147" s="26"/>
      <c r="NN147" s="26"/>
      <c r="NO147" s="26"/>
      <c r="NP147" s="26"/>
      <c r="NQ147" s="26"/>
      <c r="NR147" s="26"/>
      <c r="NS147" s="26"/>
      <c r="NT147" s="26"/>
      <c r="NU147" s="26"/>
      <c r="NV147" s="26"/>
      <c r="NW147" s="26"/>
      <c r="NX147" s="26"/>
      <c r="NY147" s="26"/>
      <c r="NZ147" s="26"/>
      <c r="OA147" s="26"/>
      <c r="OB147" s="26"/>
      <c r="OC147" s="26"/>
      <c r="OD147" s="26"/>
      <c r="OE147" s="26"/>
      <c r="OF147" s="26"/>
      <c r="OG147" s="26"/>
      <c r="OH147" s="23"/>
      <c r="OI147" s="26"/>
      <c r="OJ147" s="26"/>
      <c r="OK147" s="26"/>
      <c r="OL147" s="26"/>
      <c r="OM147" s="26"/>
      <c r="ON147" s="26"/>
      <c r="OO147" s="26"/>
      <c r="OP147" s="26"/>
      <c r="OQ147" s="26"/>
      <c r="OR147" s="26"/>
      <c r="OS147" s="26"/>
      <c r="OT147" s="26"/>
      <c r="OU147" s="26"/>
      <c r="OV147" s="26"/>
      <c r="OW147" s="26"/>
      <c r="OX147" s="26"/>
      <c r="OY147" s="26"/>
      <c r="OZ147" s="26"/>
      <c r="PA147" s="26"/>
      <c r="PB147" s="26"/>
      <c r="PC147" s="26"/>
      <c r="PD147" s="26"/>
      <c r="PE147" s="26"/>
      <c r="PF147" s="26"/>
      <c r="PG147" s="26"/>
      <c r="PH147" s="26"/>
      <c r="PI147" s="26"/>
      <c r="PJ147" s="26"/>
      <c r="PK147" s="26"/>
      <c r="PL147" s="26"/>
      <c r="PM147" s="26"/>
      <c r="PN147" s="26"/>
      <c r="PO147" s="26"/>
      <c r="PP147" s="26"/>
      <c r="PQ147" s="26"/>
      <c r="PR147" s="26"/>
      <c r="PS147" s="26"/>
      <c r="PT147" s="26"/>
    </row>
    <row r="148" spans="1:436" ht="15.75" thickBot="1" x14ac:dyDescent="0.3">
      <c r="A148" s="24"/>
      <c r="B148" s="25"/>
      <c r="C148" s="25"/>
      <c r="D148" s="25"/>
      <c r="E148" s="24"/>
      <c r="F148" s="24"/>
      <c r="G148" s="24"/>
      <c r="H148" s="23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3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3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3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3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  <c r="GR148" s="26"/>
      <c r="GS148" s="26"/>
      <c r="GT148" s="26"/>
      <c r="GU148" s="23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/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6"/>
      <c r="IG148" s="26"/>
      <c r="IH148" s="23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  <c r="JD148" s="26"/>
      <c r="JE148" s="26"/>
      <c r="JF148" s="26"/>
      <c r="JG148" s="26"/>
      <c r="JH148" s="26"/>
      <c r="JI148" s="26"/>
      <c r="JJ148" s="26"/>
      <c r="JK148" s="26"/>
      <c r="JL148" s="26"/>
      <c r="JM148" s="26"/>
      <c r="JN148" s="26"/>
      <c r="JO148" s="26"/>
      <c r="JP148" s="26"/>
      <c r="JQ148" s="26"/>
      <c r="JR148" s="26"/>
      <c r="JS148" s="26"/>
      <c r="JT148" s="26"/>
      <c r="JU148" s="23"/>
      <c r="JV148" s="26"/>
      <c r="JW148" s="26"/>
      <c r="JX148" s="26"/>
      <c r="JY148" s="26"/>
      <c r="JZ148" s="26"/>
      <c r="KA148" s="26"/>
      <c r="KB148" s="26"/>
      <c r="KC148" s="26"/>
      <c r="KD148" s="26"/>
      <c r="KE148" s="26"/>
      <c r="KF148" s="26"/>
      <c r="KG148" s="26"/>
      <c r="KH148" s="26"/>
      <c r="KI148" s="26"/>
      <c r="KJ148" s="26"/>
      <c r="KK148" s="26"/>
      <c r="KL148" s="26"/>
      <c r="KM148" s="26"/>
      <c r="KN148" s="26"/>
      <c r="KO148" s="26"/>
      <c r="KP148" s="26"/>
      <c r="KQ148" s="26"/>
      <c r="KR148" s="26"/>
      <c r="KS148" s="26"/>
      <c r="KT148" s="26"/>
      <c r="KU148" s="26"/>
      <c r="KV148" s="26"/>
      <c r="KW148" s="26"/>
      <c r="KX148" s="26"/>
      <c r="KY148" s="26"/>
      <c r="KZ148" s="26"/>
      <c r="LA148" s="26"/>
      <c r="LB148" s="26"/>
      <c r="LC148" s="26"/>
      <c r="LD148" s="26"/>
      <c r="LE148" s="26"/>
      <c r="LF148" s="26"/>
      <c r="LG148" s="26"/>
      <c r="LH148" s="23"/>
      <c r="LI148" s="26"/>
      <c r="LJ148" s="26"/>
      <c r="LK148" s="26"/>
      <c r="LL148" s="26"/>
      <c r="LM148" s="26"/>
      <c r="LN148" s="26"/>
      <c r="LO148" s="26"/>
      <c r="LP148" s="26"/>
      <c r="LQ148" s="26"/>
      <c r="LR148" s="26"/>
      <c r="LS148" s="26"/>
      <c r="LT148" s="26"/>
      <c r="LU148" s="26"/>
      <c r="LV148" s="26"/>
      <c r="LW148" s="26"/>
      <c r="LX148" s="26"/>
      <c r="LY148" s="26"/>
      <c r="LZ148" s="26"/>
      <c r="MA148" s="26"/>
      <c r="MB148" s="26"/>
      <c r="MC148" s="26"/>
      <c r="MD148" s="26"/>
      <c r="ME148" s="26"/>
      <c r="MF148" s="26"/>
      <c r="MG148" s="26"/>
      <c r="MH148" s="26"/>
      <c r="MI148" s="26"/>
      <c r="MJ148" s="26"/>
      <c r="MK148" s="26"/>
      <c r="ML148" s="26"/>
      <c r="MM148" s="26"/>
      <c r="MN148" s="26"/>
      <c r="MO148" s="26"/>
      <c r="MP148" s="26"/>
      <c r="MQ148" s="26"/>
      <c r="MR148" s="26"/>
      <c r="MS148" s="26"/>
      <c r="MT148" s="26"/>
      <c r="MU148" s="23"/>
      <c r="MV148" s="26"/>
      <c r="MW148" s="26"/>
      <c r="MX148" s="26"/>
      <c r="MY148" s="26"/>
      <c r="MZ148" s="26"/>
      <c r="NA148" s="26"/>
      <c r="NB148" s="26"/>
      <c r="NC148" s="26"/>
      <c r="ND148" s="26"/>
      <c r="NE148" s="26"/>
      <c r="NF148" s="26"/>
      <c r="NG148" s="26"/>
      <c r="NH148" s="26"/>
      <c r="NI148" s="26"/>
      <c r="NJ148" s="26"/>
      <c r="NK148" s="26"/>
      <c r="NL148" s="26"/>
      <c r="NM148" s="26"/>
      <c r="NN148" s="26"/>
      <c r="NO148" s="26"/>
      <c r="NP148" s="26"/>
      <c r="NQ148" s="26"/>
      <c r="NR148" s="26"/>
      <c r="NS148" s="26"/>
      <c r="NT148" s="26"/>
      <c r="NU148" s="26"/>
      <c r="NV148" s="26"/>
      <c r="NW148" s="26"/>
      <c r="NX148" s="26"/>
      <c r="NY148" s="26"/>
      <c r="NZ148" s="26"/>
      <c r="OA148" s="26"/>
      <c r="OB148" s="26"/>
      <c r="OC148" s="26"/>
      <c r="OD148" s="26"/>
      <c r="OE148" s="26"/>
      <c r="OF148" s="26"/>
      <c r="OG148" s="26"/>
      <c r="OH148" s="23"/>
      <c r="OI148" s="26"/>
      <c r="OJ148" s="26"/>
      <c r="OK148" s="26"/>
      <c r="OL148" s="26"/>
      <c r="OM148" s="26"/>
      <c r="ON148" s="26"/>
      <c r="OO148" s="26"/>
      <c r="OP148" s="26"/>
      <c r="OQ148" s="26"/>
      <c r="OR148" s="26"/>
      <c r="OS148" s="26"/>
      <c r="OT148" s="26"/>
      <c r="OU148" s="26"/>
      <c r="OV148" s="26"/>
      <c r="OW148" s="26"/>
      <c r="OX148" s="26"/>
      <c r="OY148" s="26"/>
      <c r="OZ148" s="26"/>
      <c r="PA148" s="26"/>
      <c r="PB148" s="26"/>
      <c r="PC148" s="26"/>
      <c r="PD148" s="26"/>
      <c r="PE148" s="26"/>
      <c r="PF148" s="26"/>
      <c r="PG148" s="26"/>
      <c r="PH148" s="26"/>
      <c r="PI148" s="26"/>
      <c r="PJ148" s="26"/>
      <c r="PK148" s="26"/>
      <c r="PL148" s="26"/>
      <c r="PM148" s="26"/>
      <c r="PN148" s="26"/>
      <c r="PO148" s="26"/>
      <c r="PP148" s="26"/>
      <c r="PQ148" s="26"/>
      <c r="PR148" s="26"/>
      <c r="PS148" s="26"/>
      <c r="PT148" s="26"/>
    </row>
    <row r="149" spans="1:436" ht="15.75" thickBot="1" x14ac:dyDescent="0.3">
      <c r="A149" s="24"/>
      <c r="B149" s="25"/>
      <c r="C149" s="25"/>
      <c r="D149" s="25"/>
      <c r="E149" s="24"/>
      <c r="F149" s="24"/>
      <c r="G149" s="24"/>
      <c r="H149" s="23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3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3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3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3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6"/>
      <c r="GT149" s="26"/>
      <c r="GU149" s="23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6"/>
      <c r="IG149" s="26"/>
      <c r="IH149" s="23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  <c r="JM149" s="26"/>
      <c r="JN149" s="26"/>
      <c r="JO149" s="26"/>
      <c r="JP149" s="26"/>
      <c r="JQ149" s="26"/>
      <c r="JR149" s="26"/>
      <c r="JS149" s="26"/>
      <c r="JT149" s="26"/>
      <c r="JU149" s="23"/>
      <c r="JV149" s="26"/>
      <c r="JW149" s="26"/>
      <c r="JX149" s="26"/>
      <c r="JY149" s="26"/>
      <c r="JZ149" s="26"/>
      <c r="KA149" s="26"/>
      <c r="KB149" s="26"/>
      <c r="KC149" s="26"/>
      <c r="KD149" s="26"/>
      <c r="KE149" s="26"/>
      <c r="KF149" s="26"/>
      <c r="KG149" s="26"/>
      <c r="KH149" s="26"/>
      <c r="KI149" s="26"/>
      <c r="KJ149" s="26"/>
      <c r="KK149" s="26"/>
      <c r="KL149" s="26"/>
      <c r="KM149" s="26"/>
      <c r="KN149" s="26"/>
      <c r="KO149" s="26"/>
      <c r="KP149" s="26"/>
      <c r="KQ149" s="26"/>
      <c r="KR149" s="26"/>
      <c r="KS149" s="26"/>
      <c r="KT149" s="26"/>
      <c r="KU149" s="26"/>
      <c r="KV149" s="26"/>
      <c r="KW149" s="26"/>
      <c r="KX149" s="26"/>
      <c r="KY149" s="26"/>
      <c r="KZ149" s="26"/>
      <c r="LA149" s="26"/>
      <c r="LB149" s="26"/>
      <c r="LC149" s="26"/>
      <c r="LD149" s="26"/>
      <c r="LE149" s="26"/>
      <c r="LF149" s="26"/>
      <c r="LG149" s="26"/>
      <c r="LH149" s="23"/>
      <c r="LI149" s="26"/>
      <c r="LJ149" s="26"/>
      <c r="LK149" s="26"/>
      <c r="LL149" s="26"/>
      <c r="LM149" s="26"/>
      <c r="LN149" s="26"/>
      <c r="LO149" s="26"/>
      <c r="LP149" s="26"/>
      <c r="LQ149" s="26"/>
      <c r="LR149" s="26"/>
      <c r="LS149" s="26"/>
      <c r="LT149" s="26"/>
      <c r="LU149" s="26"/>
      <c r="LV149" s="26"/>
      <c r="LW149" s="26"/>
      <c r="LX149" s="26"/>
      <c r="LY149" s="26"/>
      <c r="LZ149" s="26"/>
      <c r="MA149" s="26"/>
      <c r="MB149" s="26"/>
      <c r="MC149" s="26"/>
      <c r="MD149" s="26"/>
      <c r="ME149" s="26"/>
      <c r="MF149" s="26"/>
      <c r="MG149" s="26"/>
      <c r="MH149" s="26"/>
      <c r="MI149" s="26"/>
      <c r="MJ149" s="26"/>
      <c r="MK149" s="26"/>
      <c r="ML149" s="26"/>
      <c r="MM149" s="26"/>
      <c r="MN149" s="26"/>
      <c r="MO149" s="26"/>
      <c r="MP149" s="26"/>
      <c r="MQ149" s="26"/>
      <c r="MR149" s="26"/>
      <c r="MS149" s="26"/>
      <c r="MT149" s="26"/>
      <c r="MU149" s="23"/>
      <c r="MV149" s="26"/>
      <c r="MW149" s="26"/>
      <c r="MX149" s="26"/>
      <c r="MY149" s="26"/>
      <c r="MZ149" s="26"/>
      <c r="NA149" s="26"/>
      <c r="NB149" s="26"/>
      <c r="NC149" s="26"/>
      <c r="ND149" s="26"/>
      <c r="NE149" s="26"/>
      <c r="NF149" s="26"/>
      <c r="NG149" s="26"/>
      <c r="NH149" s="26"/>
      <c r="NI149" s="26"/>
      <c r="NJ149" s="26"/>
      <c r="NK149" s="26"/>
      <c r="NL149" s="26"/>
      <c r="NM149" s="26"/>
      <c r="NN149" s="26"/>
      <c r="NO149" s="26"/>
      <c r="NP149" s="26"/>
      <c r="NQ149" s="26"/>
      <c r="NR149" s="26"/>
      <c r="NS149" s="26"/>
      <c r="NT149" s="26"/>
      <c r="NU149" s="26"/>
      <c r="NV149" s="26"/>
      <c r="NW149" s="26"/>
      <c r="NX149" s="26"/>
      <c r="NY149" s="26"/>
      <c r="NZ149" s="26"/>
      <c r="OA149" s="26"/>
      <c r="OB149" s="26"/>
      <c r="OC149" s="26"/>
      <c r="OD149" s="26"/>
      <c r="OE149" s="26"/>
      <c r="OF149" s="26"/>
      <c r="OG149" s="26"/>
      <c r="OH149" s="23"/>
      <c r="OI149" s="26"/>
      <c r="OJ149" s="26"/>
      <c r="OK149" s="26"/>
      <c r="OL149" s="26"/>
      <c r="OM149" s="26"/>
      <c r="ON149" s="26"/>
      <c r="OO149" s="26"/>
      <c r="OP149" s="26"/>
      <c r="OQ149" s="26"/>
      <c r="OR149" s="26"/>
      <c r="OS149" s="26"/>
      <c r="OT149" s="26"/>
      <c r="OU149" s="26"/>
      <c r="OV149" s="26"/>
      <c r="OW149" s="26"/>
      <c r="OX149" s="26"/>
      <c r="OY149" s="26"/>
      <c r="OZ149" s="26"/>
      <c r="PA149" s="26"/>
      <c r="PB149" s="26"/>
      <c r="PC149" s="26"/>
      <c r="PD149" s="26"/>
      <c r="PE149" s="26"/>
      <c r="PF149" s="26"/>
      <c r="PG149" s="26"/>
      <c r="PH149" s="26"/>
      <c r="PI149" s="26"/>
      <c r="PJ149" s="26"/>
      <c r="PK149" s="26"/>
      <c r="PL149" s="26"/>
      <c r="PM149" s="26"/>
      <c r="PN149" s="26"/>
      <c r="PO149" s="26"/>
      <c r="PP149" s="26"/>
      <c r="PQ149" s="26"/>
      <c r="PR149" s="26"/>
      <c r="PS149" s="26"/>
      <c r="PT149" s="26"/>
    </row>
    <row r="150" spans="1:436" ht="15.75" thickBot="1" x14ac:dyDescent="0.3">
      <c r="A150" s="24"/>
      <c r="B150" s="25"/>
      <c r="C150" s="25"/>
      <c r="D150" s="25"/>
      <c r="E150" s="24"/>
      <c r="F150" s="24"/>
      <c r="G150" s="24"/>
      <c r="H150" s="23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3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3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3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3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3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3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6"/>
      <c r="JT150" s="26"/>
      <c r="JU150" s="23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6"/>
      <c r="LG150" s="26"/>
      <c r="LH150" s="23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6"/>
      <c r="MT150" s="26"/>
      <c r="MU150" s="23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6"/>
      <c r="OG150" s="26"/>
      <c r="OH150" s="23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  <c r="PS150" s="26"/>
      <c r="PT150" s="26"/>
    </row>
    <row r="151" spans="1:436" ht="15.75" thickBot="1" x14ac:dyDescent="0.3">
      <c r="A151" s="24"/>
      <c r="B151" s="25"/>
      <c r="C151" s="25"/>
      <c r="D151" s="25"/>
      <c r="E151" s="24"/>
      <c r="F151" s="24"/>
      <c r="G151" s="24"/>
      <c r="H151" s="23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3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3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3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3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3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26"/>
      <c r="HG151" s="26"/>
      <c r="HH151" s="26"/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6"/>
      <c r="IG151" s="26"/>
      <c r="IH151" s="23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  <c r="JD151" s="26"/>
      <c r="JE151" s="26"/>
      <c r="JF151" s="26"/>
      <c r="JG151" s="26"/>
      <c r="JH151" s="26"/>
      <c r="JI151" s="26"/>
      <c r="JJ151" s="26"/>
      <c r="JK151" s="26"/>
      <c r="JL151" s="26"/>
      <c r="JM151" s="26"/>
      <c r="JN151" s="26"/>
      <c r="JO151" s="26"/>
      <c r="JP151" s="26"/>
      <c r="JQ151" s="26"/>
      <c r="JR151" s="26"/>
      <c r="JS151" s="26"/>
      <c r="JT151" s="26"/>
      <c r="JU151" s="23"/>
      <c r="JV151" s="26"/>
      <c r="JW151" s="26"/>
      <c r="JX151" s="26"/>
      <c r="JY151" s="26"/>
      <c r="JZ151" s="26"/>
      <c r="KA151" s="26"/>
      <c r="KB151" s="26"/>
      <c r="KC151" s="26"/>
      <c r="KD151" s="26"/>
      <c r="KE151" s="26"/>
      <c r="KF151" s="26"/>
      <c r="KG151" s="26"/>
      <c r="KH151" s="26"/>
      <c r="KI151" s="26"/>
      <c r="KJ151" s="26"/>
      <c r="KK151" s="26"/>
      <c r="KL151" s="26"/>
      <c r="KM151" s="26"/>
      <c r="KN151" s="26"/>
      <c r="KO151" s="26"/>
      <c r="KP151" s="26"/>
      <c r="KQ151" s="26"/>
      <c r="KR151" s="26"/>
      <c r="KS151" s="26"/>
      <c r="KT151" s="26"/>
      <c r="KU151" s="26"/>
      <c r="KV151" s="26"/>
      <c r="KW151" s="26"/>
      <c r="KX151" s="26"/>
      <c r="KY151" s="26"/>
      <c r="KZ151" s="26"/>
      <c r="LA151" s="26"/>
      <c r="LB151" s="26"/>
      <c r="LC151" s="26"/>
      <c r="LD151" s="26"/>
      <c r="LE151" s="26"/>
      <c r="LF151" s="26"/>
      <c r="LG151" s="26"/>
      <c r="LH151" s="23"/>
      <c r="LI151" s="26"/>
      <c r="LJ151" s="26"/>
      <c r="LK151" s="26"/>
      <c r="LL151" s="26"/>
      <c r="LM151" s="26"/>
      <c r="LN151" s="26"/>
      <c r="LO151" s="26"/>
      <c r="LP151" s="26"/>
      <c r="LQ151" s="26"/>
      <c r="LR151" s="26"/>
      <c r="LS151" s="26"/>
      <c r="LT151" s="26"/>
      <c r="LU151" s="26"/>
      <c r="LV151" s="26"/>
      <c r="LW151" s="26"/>
      <c r="LX151" s="26"/>
      <c r="LY151" s="26"/>
      <c r="LZ151" s="26"/>
      <c r="MA151" s="26"/>
      <c r="MB151" s="26"/>
      <c r="MC151" s="26"/>
      <c r="MD151" s="26"/>
      <c r="ME151" s="26"/>
      <c r="MF151" s="26"/>
      <c r="MG151" s="26"/>
      <c r="MH151" s="26"/>
      <c r="MI151" s="26"/>
      <c r="MJ151" s="26"/>
      <c r="MK151" s="26"/>
      <c r="ML151" s="26"/>
      <c r="MM151" s="26"/>
      <c r="MN151" s="26"/>
      <c r="MO151" s="26"/>
      <c r="MP151" s="26"/>
      <c r="MQ151" s="26"/>
      <c r="MR151" s="26"/>
      <c r="MS151" s="26"/>
      <c r="MT151" s="26"/>
      <c r="MU151" s="23"/>
      <c r="MV151" s="26"/>
      <c r="MW151" s="26"/>
      <c r="MX151" s="26"/>
      <c r="MY151" s="26"/>
      <c r="MZ151" s="26"/>
      <c r="NA151" s="26"/>
      <c r="NB151" s="26"/>
      <c r="NC151" s="26"/>
      <c r="ND151" s="26"/>
      <c r="NE151" s="26"/>
      <c r="NF151" s="26"/>
      <c r="NG151" s="26"/>
      <c r="NH151" s="26"/>
      <c r="NI151" s="26"/>
      <c r="NJ151" s="26"/>
      <c r="NK151" s="26"/>
      <c r="NL151" s="26"/>
      <c r="NM151" s="26"/>
      <c r="NN151" s="26"/>
      <c r="NO151" s="26"/>
      <c r="NP151" s="26"/>
      <c r="NQ151" s="26"/>
      <c r="NR151" s="26"/>
      <c r="NS151" s="26"/>
      <c r="NT151" s="26"/>
      <c r="NU151" s="26"/>
      <c r="NV151" s="26"/>
      <c r="NW151" s="26"/>
      <c r="NX151" s="26"/>
      <c r="NY151" s="26"/>
      <c r="NZ151" s="26"/>
      <c r="OA151" s="26"/>
      <c r="OB151" s="26"/>
      <c r="OC151" s="26"/>
      <c r="OD151" s="26"/>
      <c r="OE151" s="26"/>
      <c r="OF151" s="26"/>
      <c r="OG151" s="26"/>
      <c r="OH151" s="23"/>
      <c r="OI151" s="26"/>
      <c r="OJ151" s="26"/>
      <c r="OK151" s="26"/>
      <c r="OL151" s="26"/>
      <c r="OM151" s="26"/>
      <c r="ON151" s="26"/>
      <c r="OO151" s="26"/>
      <c r="OP151" s="26"/>
      <c r="OQ151" s="26"/>
      <c r="OR151" s="26"/>
      <c r="OS151" s="26"/>
      <c r="OT151" s="26"/>
      <c r="OU151" s="26"/>
      <c r="OV151" s="26"/>
      <c r="OW151" s="26"/>
      <c r="OX151" s="26"/>
      <c r="OY151" s="26"/>
      <c r="OZ151" s="26"/>
      <c r="PA151" s="26"/>
      <c r="PB151" s="26"/>
      <c r="PC151" s="26"/>
      <c r="PD151" s="26"/>
      <c r="PE151" s="26"/>
      <c r="PF151" s="26"/>
      <c r="PG151" s="26"/>
      <c r="PH151" s="26"/>
      <c r="PI151" s="26"/>
      <c r="PJ151" s="26"/>
      <c r="PK151" s="26"/>
      <c r="PL151" s="26"/>
      <c r="PM151" s="26"/>
      <c r="PN151" s="26"/>
      <c r="PO151" s="26"/>
      <c r="PP151" s="26"/>
      <c r="PQ151" s="26"/>
      <c r="PR151" s="26"/>
      <c r="PS151" s="26"/>
      <c r="PT151" s="26"/>
    </row>
    <row r="152" spans="1:436" ht="15.75" thickBot="1" x14ac:dyDescent="0.3">
      <c r="A152" s="24"/>
      <c r="B152" s="25"/>
      <c r="C152" s="25"/>
      <c r="D152" s="25"/>
      <c r="E152" s="24"/>
      <c r="F152" s="24"/>
      <c r="G152" s="24"/>
      <c r="H152" s="23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3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3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3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3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  <c r="GR152" s="26"/>
      <c r="GS152" s="26"/>
      <c r="GT152" s="26"/>
      <c r="GU152" s="23"/>
      <c r="GV152" s="26"/>
      <c r="GW152" s="26"/>
      <c r="GX152" s="26"/>
      <c r="GY152" s="26"/>
      <c r="GZ152" s="26"/>
      <c r="HA152" s="26"/>
      <c r="HB152" s="26"/>
      <c r="HC152" s="26"/>
      <c r="HD152" s="26"/>
      <c r="HE152" s="26"/>
      <c r="HF152" s="26"/>
      <c r="HG152" s="26"/>
      <c r="HH152" s="26"/>
      <c r="HI152" s="26"/>
      <c r="HJ152" s="26"/>
      <c r="HK152" s="26"/>
      <c r="HL152" s="26"/>
      <c r="HM152" s="26"/>
      <c r="HN152" s="26"/>
      <c r="HO152" s="26"/>
      <c r="HP152" s="26"/>
      <c r="HQ152" s="26"/>
      <c r="HR152" s="26"/>
      <c r="HS152" s="26"/>
      <c r="HT152" s="26"/>
      <c r="HU152" s="26"/>
      <c r="HV152" s="26"/>
      <c r="HW152" s="26"/>
      <c r="HX152" s="26"/>
      <c r="HY152" s="26"/>
      <c r="HZ152" s="26"/>
      <c r="IA152" s="26"/>
      <c r="IB152" s="26"/>
      <c r="IC152" s="26"/>
      <c r="ID152" s="26"/>
      <c r="IE152" s="26"/>
      <c r="IF152" s="26"/>
      <c r="IG152" s="26"/>
      <c r="IH152" s="23"/>
      <c r="II152" s="26"/>
      <c r="IJ152" s="26"/>
      <c r="IK152" s="26"/>
      <c r="IL152" s="26"/>
      <c r="IM152" s="26"/>
      <c r="IN152" s="26"/>
      <c r="IO152" s="26"/>
      <c r="IP152" s="26"/>
      <c r="IQ152" s="26"/>
      <c r="IR152" s="26"/>
      <c r="IS152" s="26"/>
      <c r="IT152" s="26"/>
      <c r="IU152" s="26"/>
      <c r="IV152" s="26"/>
      <c r="IW152" s="26"/>
      <c r="IX152" s="26"/>
      <c r="IY152" s="26"/>
      <c r="IZ152" s="26"/>
      <c r="JA152" s="26"/>
      <c r="JB152" s="26"/>
      <c r="JC152" s="26"/>
      <c r="JD152" s="26"/>
      <c r="JE152" s="26"/>
      <c r="JF152" s="26"/>
      <c r="JG152" s="26"/>
      <c r="JH152" s="26"/>
      <c r="JI152" s="26"/>
      <c r="JJ152" s="26"/>
      <c r="JK152" s="26"/>
      <c r="JL152" s="26"/>
      <c r="JM152" s="26"/>
      <c r="JN152" s="26"/>
      <c r="JO152" s="26"/>
      <c r="JP152" s="26"/>
      <c r="JQ152" s="26"/>
      <c r="JR152" s="26"/>
      <c r="JS152" s="26"/>
      <c r="JT152" s="26"/>
      <c r="JU152" s="23"/>
      <c r="JV152" s="26"/>
      <c r="JW152" s="26"/>
      <c r="JX152" s="26"/>
      <c r="JY152" s="26"/>
      <c r="JZ152" s="26"/>
      <c r="KA152" s="26"/>
      <c r="KB152" s="26"/>
      <c r="KC152" s="26"/>
      <c r="KD152" s="26"/>
      <c r="KE152" s="26"/>
      <c r="KF152" s="26"/>
      <c r="KG152" s="26"/>
      <c r="KH152" s="26"/>
      <c r="KI152" s="26"/>
      <c r="KJ152" s="26"/>
      <c r="KK152" s="26"/>
      <c r="KL152" s="26"/>
      <c r="KM152" s="26"/>
      <c r="KN152" s="26"/>
      <c r="KO152" s="26"/>
      <c r="KP152" s="26"/>
      <c r="KQ152" s="26"/>
      <c r="KR152" s="26"/>
      <c r="KS152" s="26"/>
      <c r="KT152" s="26"/>
      <c r="KU152" s="26"/>
      <c r="KV152" s="26"/>
      <c r="KW152" s="26"/>
      <c r="KX152" s="26"/>
      <c r="KY152" s="26"/>
      <c r="KZ152" s="26"/>
      <c r="LA152" s="26"/>
      <c r="LB152" s="26"/>
      <c r="LC152" s="26"/>
      <c r="LD152" s="26"/>
      <c r="LE152" s="26"/>
      <c r="LF152" s="26"/>
      <c r="LG152" s="26"/>
      <c r="LH152" s="23"/>
      <c r="LI152" s="26"/>
      <c r="LJ152" s="26"/>
      <c r="LK152" s="26"/>
      <c r="LL152" s="26"/>
      <c r="LM152" s="26"/>
      <c r="LN152" s="26"/>
      <c r="LO152" s="26"/>
      <c r="LP152" s="26"/>
      <c r="LQ152" s="26"/>
      <c r="LR152" s="26"/>
      <c r="LS152" s="26"/>
      <c r="LT152" s="26"/>
      <c r="LU152" s="26"/>
      <c r="LV152" s="26"/>
      <c r="LW152" s="26"/>
      <c r="LX152" s="26"/>
      <c r="LY152" s="26"/>
      <c r="LZ152" s="26"/>
      <c r="MA152" s="26"/>
      <c r="MB152" s="26"/>
      <c r="MC152" s="26"/>
      <c r="MD152" s="26"/>
      <c r="ME152" s="26"/>
      <c r="MF152" s="26"/>
      <c r="MG152" s="26"/>
      <c r="MH152" s="26"/>
      <c r="MI152" s="26"/>
      <c r="MJ152" s="26"/>
      <c r="MK152" s="26"/>
      <c r="ML152" s="26"/>
      <c r="MM152" s="26"/>
      <c r="MN152" s="26"/>
      <c r="MO152" s="26"/>
      <c r="MP152" s="26"/>
      <c r="MQ152" s="26"/>
      <c r="MR152" s="26"/>
      <c r="MS152" s="26"/>
      <c r="MT152" s="26"/>
      <c r="MU152" s="23"/>
      <c r="MV152" s="26"/>
      <c r="MW152" s="26"/>
      <c r="MX152" s="26"/>
      <c r="MY152" s="26"/>
      <c r="MZ152" s="26"/>
      <c r="NA152" s="26"/>
      <c r="NB152" s="26"/>
      <c r="NC152" s="26"/>
      <c r="ND152" s="26"/>
      <c r="NE152" s="26"/>
      <c r="NF152" s="26"/>
      <c r="NG152" s="26"/>
      <c r="NH152" s="26"/>
      <c r="NI152" s="26"/>
      <c r="NJ152" s="26"/>
      <c r="NK152" s="26"/>
      <c r="NL152" s="26"/>
      <c r="NM152" s="26"/>
      <c r="NN152" s="26"/>
      <c r="NO152" s="26"/>
      <c r="NP152" s="26"/>
      <c r="NQ152" s="26"/>
      <c r="NR152" s="26"/>
      <c r="NS152" s="26"/>
      <c r="NT152" s="26"/>
      <c r="NU152" s="26"/>
      <c r="NV152" s="26"/>
      <c r="NW152" s="26"/>
      <c r="NX152" s="26"/>
      <c r="NY152" s="26"/>
      <c r="NZ152" s="26"/>
      <c r="OA152" s="26"/>
      <c r="OB152" s="26"/>
      <c r="OC152" s="26"/>
      <c r="OD152" s="26"/>
      <c r="OE152" s="26"/>
      <c r="OF152" s="26"/>
      <c r="OG152" s="26"/>
      <c r="OH152" s="23"/>
      <c r="OI152" s="26"/>
      <c r="OJ152" s="26"/>
      <c r="OK152" s="26"/>
      <c r="OL152" s="26"/>
      <c r="OM152" s="26"/>
      <c r="ON152" s="26"/>
      <c r="OO152" s="26"/>
      <c r="OP152" s="26"/>
      <c r="OQ152" s="26"/>
      <c r="OR152" s="26"/>
      <c r="OS152" s="26"/>
      <c r="OT152" s="26"/>
      <c r="OU152" s="26"/>
      <c r="OV152" s="26"/>
      <c r="OW152" s="26"/>
      <c r="OX152" s="26"/>
      <c r="OY152" s="26"/>
      <c r="OZ152" s="26"/>
      <c r="PA152" s="26"/>
      <c r="PB152" s="26"/>
      <c r="PC152" s="26"/>
      <c r="PD152" s="26"/>
      <c r="PE152" s="26"/>
      <c r="PF152" s="26"/>
      <c r="PG152" s="26"/>
      <c r="PH152" s="26"/>
      <c r="PI152" s="26"/>
      <c r="PJ152" s="26"/>
      <c r="PK152" s="26"/>
      <c r="PL152" s="26"/>
      <c r="PM152" s="26"/>
      <c r="PN152" s="26"/>
      <c r="PO152" s="26"/>
      <c r="PP152" s="26"/>
      <c r="PQ152" s="26"/>
      <c r="PR152" s="26"/>
      <c r="PS152" s="26"/>
      <c r="PT152" s="26"/>
    </row>
    <row r="153" spans="1:436" ht="15.75" thickBot="1" x14ac:dyDescent="0.3">
      <c r="A153" s="24"/>
      <c r="B153" s="25"/>
      <c r="C153" s="25"/>
      <c r="D153" s="25"/>
      <c r="E153" s="24"/>
      <c r="F153" s="24"/>
      <c r="G153" s="24"/>
      <c r="H153" s="23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3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3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3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3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  <c r="GR153" s="26"/>
      <c r="GS153" s="26"/>
      <c r="GT153" s="26"/>
      <c r="GU153" s="23"/>
      <c r="GV153" s="26"/>
      <c r="GW153" s="26"/>
      <c r="GX153" s="26"/>
      <c r="GY153" s="26"/>
      <c r="GZ153" s="26"/>
      <c r="HA153" s="26"/>
      <c r="HB153" s="26"/>
      <c r="HC153" s="26"/>
      <c r="HD153" s="26"/>
      <c r="HE153" s="26"/>
      <c r="HF153" s="26"/>
      <c r="HG153" s="26"/>
      <c r="HH153" s="26"/>
      <c r="HI153" s="26"/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6"/>
      <c r="IG153" s="26"/>
      <c r="IH153" s="23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  <c r="JD153" s="26"/>
      <c r="JE153" s="26"/>
      <c r="JF153" s="26"/>
      <c r="JG153" s="26"/>
      <c r="JH153" s="26"/>
      <c r="JI153" s="26"/>
      <c r="JJ153" s="26"/>
      <c r="JK153" s="26"/>
      <c r="JL153" s="26"/>
      <c r="JM153" s="26"/>
      <c r="JN153" s="26"/>
      <c r="JO153" s="26"/>
      <c r="JP153" s="26"/>
      <c r="JQ153" s="26"/>
      <c r="JR153" s="26"/>
      <c r="JS153" s="26"/>
      <c r="JT153" s="26"/>
      <c r="JU153" s="23"/>
      <c r="JV153" s="26"/>
      <c r="JW153" s="26"/>
      <c r="JX153" s="26"/>
      <c r="JY153" s="26"/>
      <c r="JZ153" s="26"/>
      <c r="KA153" s="26"/>
      <c r="KB153" s="26"/>
      <c r="KC153" s="26"/>
      <c r="KD153" s="26"/>
      <c r="KE153" s="26"/>
      <c r="KF153" s="26"/>
      <c r="KG153" s="26"/>
      <c r="KH153" s="26"/>
      <c r="KI153" s="26"/>
      <c r="KJ153" s="26"/>
      <c r="KK153" s="26"/>
      <c r="KL153" s="26"/>
      <c r="KM153" s="26"/>
      <c r="KN153" s="26"/>
      <c r="KO153" s="26"/>
      <c r="KP153" s="26"/>
      <c r="KQ153" s="26"/>
      <c r="KR153" s="26"/>
      <c r="KS153" s="26"/>
      <c r="KT153" s="26"/>
      <c r="KU153" s="26"/>
      <c r="KV153" s="26"/>
      <c r="KW153" s="26"/>
      <c r="KX153" s="26"/>
      <c r="KY153" s="26"/>
      <c r="KZ153" s="26"/>
      <c r="LA153" s="26"/>
      <c r="LB153" s="26"/>
      <c r="LC153" s="26"/>
      <c r="LD153" s="26"/>
      <c r="LE153" s="26"/>
      <c r="LF153" s="26"/>
      <c r="LG153" s="26"/>
      <c r="LH153" s="23"/>
      <c r="LI153" s="26"/>
      <c r="LJ153" s="26"/>
      <c r="LK153" s="26"/>
      <c r="LL153" s="26"/>
      <c r="LM153" s="26"/>
      <c r="LN153" s="26"/>
      <c r="LO153" s="26"/>
      <c r="LP153" s="26"/>
      <c r="LQ153" s="26"/>
      <c r="LR153" s="26"/>
      <c r="LS153" s="26"/>
      <c r="LT153" s="26"/>
      <c r="LU153" s="26"/>
      <c r="LV153" s="26"/>
      <c r="LW153" s="26"/>
      <c r="LX153" s="26"/>
      <c r="LY153" s="26"/>
      <c r="LZ153" s="26"/>
      <c r="MA153" s="26"/>
      <c r="MB153" s="26"/>
      <c r="MC153" s="26"/>
      <c r="MD153" s="26"/>
      <c r="ME153" s="26"/>
      <c r="MF153" s="26"/>
      <c r="MG153" s="26"/>
      <c r="MH153" s="26"/>
      <c r="MI153" s="26"/>
      <c r="MJ153" s="26"/>
      <c r="MK153" s="26"/>
      <c r="ML153" s="26"/>
      <c r="MM153" s="26"/>
      <c r="MN153" s="26"/>
      <c r="MO153" s="26"/>
      <c r="MP153" s="26"/>
      <c r="MQ153" s="26"/>
      <c r="MR153" s="26"/>
      <c r="MS153" s="26"/>
      <c r="MT153" s="26"/>
      <c r="MU153" s="23"/>
      <c r="MV153" s="26"/>
      <c r="MW153" s="26"/>
      <c r="MX153" s="26"/>
      <c r="MY153" s="26"/>
      <c r="MZ153" s="26"/>
      <c r="NA153" s="26"/>
      <c r="NB153" s="26"/>
      <c r="NC153" s="26"/>
      <c r="ND153" s="26"/>
      <c r="NE153" s="26"/>
      <c r="NF153" s="26"/>
      <c r="NG153" s="26"/>
      <c r="NH153" s="26"/>
      <c r="NI153" s="26"/>
      <c r="NJ153" s="26"/>
      <c r="NK153" s="26"/>
      <c r="NL153" s="26"/>
      <c r="NM153" s="26"/>
      <c r="NN153" s="26"/>
      <c r="NO153" s="26"/>
      <c r="NP153" s="26"/>
      <c r="NQ153" s="26"/>
      <c r="NR153" s="26"/>
      <c r="NS153" s="26"/>
      <c r="NT153" s="26"/>
      <c r="NU153" s="26"/>
      <c r="NV153" s="26"/>
      <c r="NW153" s="26"/>
      <c r="NX153" s="26"/>
      <c r="NY153" s="26"/>
      <c r="NZ153" s="26"/>
      <c r="OA153" s="26"/>
      <c r="OB153" s="26"/>
      <c r="OC153" s="26"/>
      <c r="OD153" s="26"/>
      <c r="OE153" s="26"/>
      <c r="OF153" s="26"/>
      <c r="OG153" s="26"/>
      <c r="OH153" s="23"/>
      <c r="OI153" s="26"/>
      <c r="OJ153" s="26"/>
      <c r="OK153" s="26"/>
      <c r="OL153" s="26"/>
      <c r="OM153" s="26"/>
      <c r="ON153" s="26"/>
      <c r="OO153" s="26"/>
      <c r="OP153" s="26"/>
      <c r="OQ153" s="26"/>
      <c r="OR153" s="26"/>
      <c r="OS153" s="26"/>
      <c r="OT153" s="26"/>
      <c r="OU153" s="26"/>
      <c r="OV153" s="26"/>
      <c r="OW153" s="26"/>
      <c r="OX153" s="26"/>
      <c r="OY153" s="26"/>
      <c r="OZ153" s="26"/>
      <c r="PA153" s="26"/>
      <c r="PB153" s="26"/>
      <c r="PC153" s="26"/>
      <c r="PD153" s="26"/>
      <c r="PE153" s="26"/>
      <c r="PF153" s="26"/>
      <c r="PG153" s="26"/>
      <c r="PH153" s="26"/>
      <c r="PI153" s="26"/>
      <c r="PJ153" s="26"/>
      <c r="PK153" s="26"/>
      <c r="PL153" s="26"/>
      <c r="PM153" s="26"/>
      <c r="PN153" s="26"/>
      <c r="PO153" s="26"/>
      <c r="PP153" s="26"/>
      <c r="PQ153" s="26"/>
      <c r="PR153" s="26"/>
      <c r="PS153" s="26"/>
      <c r="PT153" s="26"/>
    </row>
    <row r="154" spans="1:436" ht="15.75" thickBot="1" x14ac:dyDescent="0.3">
      <c r="A154" s="24"/>
      <c r="B154" s="25"/>
      <c r="C154" s="25"/>
      <c r="D154" s="25"/>
      <c r="E154" s="24"/>
      <c r="F154" s="24"/>
      <c r="G154" s="24"/>
      <c r="H154" s="23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3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3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3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3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GU154" s="23"/>
      <c r="GV154" s="26"/>
      <c r="GW154" s="26"/>
      <c r="GX154" s="26"/>
      <c r="GY154" s="26"/>
      <c r="GZ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6"/>
      <c r="IG154" s="26"/>
      <c r="IH154" s="23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  <c r="JD154" s="26"/>
      <c r="JE154" s="26"/>
      <c r="JF154" s="26"/>
      <c r="JG154" s="26"/>
      <c r="JH154" s="26"/>
      <c r="JI154" s="26"/>
      <c r="JJ154" s="26"/>
      <c r="JK154" s="26"/>
      <c r="JL154" s="26"/>
      <c r="JM154" s="26"/>
      <c r="JN154" s="26"/>
      <c r="JO154" s="26"/>
      <c r="JP154" s="26"/>
      <c r="JQ154" s="26"/>
      <c r="JR154" s="26"/>
      <c r="JS154" s="26"/>
      <c r="JT154" s="26"/>
      <c r="JU154" s="23"/>
      <c r="JV154" s="26"/>
      <c r="JW154" s="26"/>
      <c r="JX154" s="26"/>
      <c r="JY154" s="26"/>
      <c r="JZ154" s="26"/>
      <c r="KA154" s="26"/>
      <c r="KB154" s="26"/>
      <c r="KC154" s="26"/>
      <c r="KD154" s="26"/>
      <c r="KE154" s="26"/>
      <c r="KF154" s="26"/>
      <c r="KG154" s="26"/>
      <c r="KH154" s="26"/>
      <c r="KI154" s="26"/>
      <c r="KJ154" s="26"/>
      <c r="KK154" s="26"/>
      <c r="KL154" s="26"/>
      <c r="KM154" s="26"/>
      <c r="KN154" s="26"/>
      <c r="KO154" s="26"/>
      <c r="KP154" s="26"/>
      <c r="KQ154" s="26"/>
      <c r="KR154" s="26"/>
      <c r="KS154" s="26"/>
      <c r="KT154" s="26"/>
      <c r="KU154" s="26"/>
      <c r="KV154" s="26"/>
      <c r="KW154" s="26"/>
      <c r="KX154" s="26"/>
      <c r="KY154" s="26"/>
      <c r="KZ154" s="26"/>
      <c r="LA154" s="26"/>
      <c r="LB154" s="26"/>
      <c r="LC154" s="26"/>
      <c r="LD154" s="26"/>
      <c r="LE154" s="26"/>
      <c r="LF154" s="26"/>
      <c r="LG154" s="26"/>
      <c r="LH154" s="23"/>
      <c r="LI154" s="26"/>
      <c r="LJ154" s="26"/>
      <c r="LK154" s="26"/>
      <c r="LL154" s="26"/>
      <c r="LM154" s="26"/>
      <c r="LN154" s="26"/>
      <c r="LO154" s="26"/>
      <c r="LP154" s="26"/>
      <c r="LQ154" s="26"/>
      <c r="LR154" s="26"/>
      <c r="LS154" s="26"/>
      <c r="LT154" s="26"/>
      <c r="LU154" s="26"/>
      <c r="LV154" s="26"/>
      <c r="LW154" s="26"/>
      <c r="LX154" s="26"/>
      <c r="LY154" s="26"/>
      <c r="LZ154" s="26"/>
      <c r="MA154" s="26"/>
      <c r="MB154" s="26"/>
      <c r="MC154" s="26"/>
      <c r="MD154" s="26"/>
      <c r="ME154" s="26"/>
      <c r="MF154" s="26"/>
      <c r="MG154" s="26"/>
      <c r="MH154" s="26"/>
      <c r="MI154" s="26"/>
      <c r="MJ154" s="26"/>
      <c r="MK154" s="26"/>
      <c r="ML154" s="26"/>
      <c r="MM154" s="26"/>
      <c r="MN154" s="26"/>
      <c r="MO154" s="26"/>
      <c r="MP154" s="26"/>
      <c r="MQ154" s="26"/>
      <c r="MR154" s="26"/>
      <c r="MS154" s="26"/>
      <c r="MT154" s="26"/>
      <c r="MU154" s="23"/>
      <c r="MV154" s="26"/>
      <c r="MW154" s="26"/>
      <c r="MX154" s="26"/>
      <c r="MY154" s="26"/>
      <c r="MZ154" s="26"/>
      <c r="NA154" s="26"/>
      <c r="NB154" s="26"/>
      <c r="NC154" s="26"/>
      <c r="ND154" s="26"/>
      <c r="NE154" s="26"/>
      <c r="NF154" s="26"/>
      <c r="NG154" s="26"/>
      <c r="NH154" s="26"/>
      <c r="NI154" s="26"/>
      <c r="NJ154" s="26"/>
      <c r="NK154" s="26"/>
      <c r="NL154" s="26"/>
      <c r="NM154" s="26"/>
      <c r="NN154" s="26"/>
      <c r="NO154" s="26"/>
      <c r="NP154" s="26"/>
      <c r="NQ154" s="26"/>
      <c r="NR154" s="26"/>
      <c r="NS154" s="26"/>
      <c r="NT154" s="26"/>
      <c r="NU154" s="26"/>
      <c r="NV154" s="26"/>
      <c r="NW154" s="26"/>
      <c r="NX154" s="26"/>
      <c r="NY154" s="26"/>
      <c r="NZ154" s="26"/>
      <c r="OA154" s="26"/>
      <c r="OB154" s="26"/>
      <c r="OC154" s="26"/>
      <c r="OD154" s="26"/>
      <c r="OE154" s="26"/>
      <c r="OF154" s="26"/>
      <c r="OG154" s="26"/>
      <c r="OH154" s="23"/>
      <c r="OI154" s="26"/>
      <c r="OJ154" s="26"/>
      <c r="OK154" s="26"/>
      <c r="OL154" s="26"/>
      <c r="OM154" s="26"/>
      <c r="ON154" s="26"/>
      <c r="OO154" s="26"/>
      <c r="OP154" s="26"/>
      <c r="OQ154" s="26"/>
      <c r="OR154" s="26"/>
      <c r="OS154" s="26"/>
      <c r="OT154" s="26"/>
      <c r="OU154" s="26"/>
      <c r="OV154" s="26"/>
      <c r="OW154" s="26"/>
      <c r="OX154" s="26"/>
      <c r="OY154" s="26"/>
      <c r="OZ154" s="26"/>
      <c r="PA154" s="26"/>
      <c r="PB154" s="26"/>
      <c r="PC154" s="26"/>
      <c r="PD154" s="26"/>
      <c r="PE154" s="26"/>
      <c r="PF154" s="26"/>
      <c r="PG154" s="26"/>
      <c r="PH154" s="26"/>
      <c r="PI154" s="26"/>
      <c r="PJ154" s="26"/>
      <c r="PK154" s="26"/>
      <c r="PL154" s="26"/>
      <c r="PM154" s="26"/>
      <c r="PN154" s="26"/>
      <c r="PO154" s="26"/>
      <c r="PP154" s="26"/>
      <c r="PQ154" s="26"/>
      <c r="PR154" s="26"/>
      <c r="PS154" s="26"/>
      <c r="PT154" s="26"/>
    </row>
    <row r="155" spans="1:436" ht="21.95" customHeight="1" thickBot="1" x14ac:dyDescent="0.3">
      <c r="A155" s="87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  <c r="FU155" s="88"/>
      <c r="FV155" s="88"/>
      <c r="FW155" s="88"/>
      <c r="FX155" s="88"/>
      <c r="FY155" s="88"/>
      <c r="FZ155" s="88"/>
      <c r="GA155" s="88"/>
      <c r="GB155" s="88"/>
      <c r="GC155" s="88"/>
      <c r="GD155" s="88"/>
      <c r="GE155" s="88"/>
      <c r="GF155" s="88"/>
      <c r="GG155" s="88"/>
      <c r="GH155" s="88"/>
      <c r="GI155" s="88"/>
      <c r="GJ155" s="88"/>
      <c r="GK155" s="88"/>
      <c r="GL155" s="88"/>
      <c r="GM155" s="88"/>
      <c r="GN155" s="88"/>
      <c r="GO155" s="88"/>
      <c r="GP155" s="88"/>
      <c r="GQ155" s="88"/>
      <c r="GR155" s="88"/>
      <c r="GS155" s="88"/>
      <c r="GT155" s="88"/>
      <c r="GU155" s="88"/>
      <c r="GV155" s="88"/>
      <c r="GW155" s="88"/>
      <c r="GX155" s="88"/>
      <c r="GY155" s="88"/>
      <c r="GZ155" s="88"/>
      <c r="HA155" s="88"/>
      <c r="HB155" s="88"/>
      <c r="HC155" s="88"/>
      <c r="HD155" s="88"/>
      <c r="HE155" s="88"/>
      <c r="HF155" s="88"/>
      <c r="HG155" s="88"/>
      <c r="HH155" s="88"/>
      <c r="HI155" s="88"/>
      <c r="HJ155" s="88"/>
      <c r="HK155" s="88"/>
      <c r="HL155" s="88"/>
      <c r="HM155" s="88"/>
      <c r="HN155" s="88"/>
      <c r="HO155" s="88"/>
      <c r="HP155" s="88"/>
      <c r="HQ155" s="88"/>
      <c r="HR155" s="88"/>
      <c r="HS155" s="88"/>
      <c r="HT155" s="88"/>
      <c r="HU155" s="88"/>
      <c r="HV155" s="88"/>
      <c r="HW155" s="88"/>
      <c r="HX155" s="88"/>
      <c r="HY155" s="88"/>
      <c r="HZ155" s="88"/>
      <c r="IA155" s="88"/>
      <c r="IB155" s="88"/>
      <c r="IC155" s="88"/>
      <c r="ID155" s="88"/>
      <c r="IE155" s="88"/>
      <c r="IF155" s="88"/>
      <c r="IG155" s="88"/>
      <c r="IH155" s="88"/>
      <c r="II155" s="88"/>
      <c r="IJ155" s="88"/>
      <c r="IK155" s="88"/>
      <c r="IL155" s="88"/>
      <c r="IM155" s="88"/>
      <c r="IN155" s="88"/>
      <c r="IO155" s="88"/>
      <c r="IP155" s="88"/>
      <c r="IQ155" s="88"/>
      <c r="IR155" s="88"/>
      <c r="IS155" s="88"/>
      <c r="IT155" s="88"/>
      <c r="IU155" s="88"/>
      <c r="IV155" s="88"/>
      <c r="IW155" s="88"/>
      <c r="IX155" s="88"/>
      <c r="IY155" s="88"/>
      <c r="IZ155" s="88"/>
      <c r="JA155" s="88"/>
      <c r="JB155" s="88"/>
      <c r="JC155" s="88"/>
      <c r="JD155" s="88"/>
      <c r="JE155" s="88"/>
      <c r="JF155" s="88"/>
      <c r="JG155" s="88"/>
      <c r="JH155" s="88"/>
      <c r="JI155" s="88"/>
      <c r="JJ155" s="88"/>
      <c r="JK155" s="88"/>
      <c r="JL155" s="88"/>
      <c r="JM155" s="88"/>
      <c r="JN155" s="88"/>
      <c r="JO155" s="88"/>
      <c r="JP155" s="88"/>
      <c r="JQ155" s="88"/>
      <c r="JR155" s="88"/>
      <c r="JS155" s="88"/>
      <c r="JT155" s="88"/>
      <c r="JU155" s="88"/>
      <c r="JV155" s="88"/>
      <c r="JW155" s="88"/>
      <c r="JX155" s="88"/>
      <c r="JY155" s="88"/>
      <c r="JZ155" s="88"/>
      <c r="KA155" s="88"/>
      <c r="KB155" s="88"/>
      <c r="KC155" s="88"/>
      <c r="KD155" s="88"/>
      <c r="KE155" s="88"/>
      <c r="KF155" s="88"/>
      <c r="KG155" s="88"/>
      <c r="KH155" s="88"/>
      <c r="KI155" s="88"/>
      <c r="KJ155" s="88"/>
      <c r="KK155" s="88"/>
      <c r="KL155" s="88"/>
      <c r="KM155" s="88"/>
      <c r="KN155" s="88"/>
      <c r="KO155" s="88"/>
      <c r="KP155" s="88"/>
      <c r="KQ155" s="88"/>
      <c r="KR155" s="88"/>
      <c r="KS155" s="88"/>
      <c r="KT155" s="88"/>
      <c r="KU155" s="88"/>
      <c r="KV155" s="88"/>
      <c r="KW155" s="88"/>
      <c r="KX155" s="88"/>
      <c r="KY155" s="88"/>
      <c r="KZ155" s="88"/>
      <c r="LA155" s="88"/>
      <c r="LB155" s="88"/>
      <c r="LC155" s="88"/>
      <c r="LD155" s="88"/>
      <c r="LE155" s="88"/>
      <c r="LF155" s="88"/>
      <c r="LG155" s="88"/>
      <c r="LH155" s="88"/>
      <c r="LI155" s="88"/>
      <c r="LJ155" s="88"/>
      <c r="LK155" s="88"/>
      <c r="LL155" s="88"/>
      <c r="LM155" s="88"/>
      <c r="LN155" s="88"/>
      <c r="LO155" s="88"/>
      <c r="LP155" s="88"/>
      <c r="LQ155" s="88"/>
      <c r="LR155" s="88"/>
      <c r="LS155" s="88"/>
      <c r="LT155" s="88"/>
      <c r="LU155" s="88"/>
      <c r="LV155" s="88"/>
      <c r="LW155" s="88"/>
      <c r="LX155" s="88"/>
      <c r="LY155" s="88"/>
      <c r="LZ155" s="88"/>
      <c r="MA155" s="88"/>
      <c r="MB155" s="88"/>
      <c r="MC155" s="88"/>
      <c r="MD155" s="88"/>
      <c r="ME155" s="88"/>
      <c r="MF155" s="88"/>
      <c r="MG155" s="88"/>
      <c r="MH155" s="88"/>
      <c r="MI155" s="88"/>
      <c r="MJ155" s="88"/>
      <c r="MK155" s="88"/>
      <c r="ML155" s="88"/>
      <c r="MM155" s="88"/>
      <c r="MN155" s="88"/>
      <c r="MO155" s="88"/>
      <c r="MP155" s="88"/>
      <c r="MQ155" s="88"/>
      <c r="MR155" s="88"/>
      <c r="MS155" s="88"/>
      <c r="MT155" s="88"/>
      <c r="MU155" s="88"/>
      <c r="MV155" s="88"/>
      <c r="MW155" s="88"/>
      <c r="MX155" s="88"/>
      <c r="MY155" s="88"/>
      <c r="MZ155" s="88"/>
      <c r="NA155" s="88"/>
      <c r="NB155" s="88"/>
      <c r="NC155" s="88"/>
      <c r="ND155" s="88"/>
      <c r="NE155" s="88"/>
      <c r="NF155" s="88"/>
      <c r="NG155" s="88"/>
      <c r="NH155" s="88"/>
      <c r="NI155" s="88"/>
      <c r="NJ155" s="88"/>
      <c r="NK155" s="88"/>
      <c r="NL155" s="88"/>
      <c r="NM155" s="88"/>
      <c r="NN155" s="88"/>
      <c r="NO155" s="88"/>
      <c r="NP155" s="88"/>
      <c r="NQ155" s="88"/>
      <c r="NR155" s="88"/>
      <c r="NS155" s="88"/>
      <c r="NT155" s="88"/>
      <c r="NU155" s="88"/>
      <c r="NV155" s="88"/>
      <c r="NW155" s="88"/>
      <c r="NX155" s="88"/>
      <c r="NY155" s="88"/>
      <c r="NZ155" s="88"/>
      <c r="OA155" s="88"/>
      <c r="OB155" s="88"/>
      <c r="OC155" s="88"/>
      <c r="OD155" s="88"/>
      <c r="OE155" s="88"/>
      <c r="OF155" s="88"/>
      <c r="OG155" s="88"/>
      <c r="OH155" s="88"/>
      <c r="OI155" s="88"/>
      <c r="OJ155" s="88"/>
      <c r="OK155" s="88"/>
      <c r="OL155" s="88"/>
      <c r="OM155" s="88"/>
      <c r="ON155" s="88"/>
      <c r="OO155" s="88"/>
      <c r="OP155" s="88"/>
      <c r="OQ155" s="88"/>
      <c r="OR155" s="88"/>
      <c r="OS155" s="88"/>
      <c r="OT155" s="88"/>
      <c r="OU155" s="88"/>
      <c r="OV155" s="88"/>
      <c r="OW155" s="88"/>
      <c r="OX155" s="88"/>
      <c r="OY155" s="88"/>
      <c r="OZ155" s="88"/>
      <c r="PA155" s="88"/>
      <c r="PB155" s="88"/>
      <c r="PC155" s="88"/>
      <c r="PD155" s="88"/>
      <c r="PE155" s="88"/>
      <c r="PF155" s="88"/>
      <c r="PG155" s="88"/>
      <c r="PH155" s="88"/>
      <c r="PI155" s="88"/>
      <c r="PJ155" s="88"/>
      <c r="PK155" s="88"/>
      <c r="PL155" s="88"/>
      <c r="PM155" s="88"/>
      <c r="PN155" s="88"/>
      <c r="PO155" s="88"/>
      <c r="PP155" s="88"/>
      <c r="PQ155" s="88"/>
      <c r="PR155" s="88"/>
      <c r="PS155" s="88"/>
      <c r="PT155" s="89"/>
    </row>
    <row r="156" spans="1:436" ht="15.75" thickBot="1" x14ac:dyDescent="0.3">
      <c r="A156" s="24"/>
      <c r="B156" s="25"/>
      <c r="C156" s="25"/>
      <c r="D156" s="25"/>
      <c r="E156" s="24"/>
      <c r="F156" s="24"/>
      <c r="G156" s="24"/>
      <c r="H156" s="23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3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3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3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3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3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3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  <c r="JD156" s="26"/>
      <c r="JE156" s="26"/>
      <c r="JF156" s="26"/>
      <c r="JG156" s="26"/>
      <c r="JH156" s="26"/>
      <c r="JI156" s="26"/>
      <c r="JJ156" s="26"/>
      <c r="JK156" s="26"/>
      <c r="JL156" s="26"/>
      <c r="JM156" s="26"/>
      <c r="JN156" s="26"/>
      <c r="JO156" s="26"/>
      <c r="JP156" s="26"/>
      <c r="JQ156" s="26"/>
      <c r="JR156" s="26"/>
      <c r="JS156" s="26"/>
      <c r="JT156" s="26"/>
      <c r="JU156" s="23"/>
      <c r="JV156" s="26"/>
      <c r="JW156" s="26"/>
      <c r="JX156" s="26"/>
      <c r="JY156" s="26"/>
      <c r="JZ156" s="26"/>
      <c r="KA156" s="26"/>
      <c r="KB156" s="26"/>
      <c r="KC156" s="26"/>
      <c r="KD156" s="26"/>
      <c r="KE156" s="26"/>
      <c r="KF156" s="26"/>
      <c r="KG156" s="26"/>
      <c r="KH156" s="26"/>
      <c r="KI156" s="26"/>
      <c r="KJ156" s="26"/>
      <c r="KK156" s="26"/>
      <c r="KL156" s="26"/>
      <c r="KM156" s="26"/>
      <c r="KN156" s="26"/>
      <c r="KO156" s="26"/>
      <c r="KP156" s="26"/>
      <c r="KQ156" s="26"/>
      <c r="KR156" s="26"/>
      <c r="KS156" s="26"/>
      <c r="KT156" s="26"/>
      <c r="KU156" s="26"/>
      <c r="KV156" s="26"/>
      <c r="KW156" s="26"/>
      <c r="KX156" s="26"/>
      <c r="KY156" s="26"/>
      <c r="KZ156" s="26"/>
      <c r="LA156" s="26"/>
      <c r="LB156" s="26"/>
      <c r="LC156" s="26"/>
      <c r="LD156" s="26"/>
      <c r="LE156" s="26"/>
      <c r="LF156" s="26"/>
      <c r="LG156" s="26"/>
      <c r="LH156" s="23"/>
      <c r="LI156" s="26"/>
      <c r="LJ156" s="26"/>
      <c r="LK156" s="26"/>
      <c r="LL156" s="26"/>
      <c r="LM156" s="26"/>
      <c r="LN156" s="26"/>
      <c r="LO156" s="26"/>
      <c r="LP156" s="26"/>
      <c r="LQ156" s="26"/>
      <c r="LR156" s="26"/>
      <c r="LS156" s="26"/>
      <c r="LT156" s="26"/>
      <c r="LU156" s="26"/>
      <c r="LV156" s="26"/>
      <c r="LW156" s="26"/>
      <c r="LX156" s="26"/>
      <c r="LY156" s="26"/>
      <c r="LZ156" s="26"/>
      <c r="MA156" s="26"/>
      <c r="MB156" s="26"/>
      <c r="MC156" s="26"/>
      <c r="MD156" s="26"/>
      <c r="ME156" s="26"/>
      <c r="MF156" s="26"/>
      <c r="MG156" s="26"/>
      <c r="MH156" s="26"/>
      <c r="MI156" s="26"/>
      <c r="MJ156" s="26"/>
      <c r="MK156" s="26"/>
      <c r="ML156" s="26"/>
      <c r="MM156" s="26"/>
      <c r="MN156" s="26"/>
      <c r="MO156" s="26"/>
      <c r="MP156" s="26"/>
      <c r="MQ156" s="26"/>
      <c r="MR156" s="26"/>
      <c r="MS156" s="26"/>
      <c r="MT156" s="26"/>
      <c r="MU156" s="23"/>
      <c r="MV156" s="26"/>
      <c r="MW156" s="26"/>
      <c r="MX156" s="26"/>
      <c r="MY156" s="26"/>
      <c r="MZ156" s="26"/>
      <c r="NA156" s="26"/>
      <c r="NB156" s="26"/>
      <c r="NC156" s="26"/>
      <c r="ND156" s="26"/>
      <c r="NE156" s="26"/>
      <c r="NF156" s="26"/>
      <c r="NG156" s="26"/>
      <c r="NH156" s="26"/>
      <c r="NI156" s="26"/>
      <c r="NJ156" s="26"/>
      <c r="NK156" s="26"/>
      <c r="NL156" s="26"/>
      <c r="NM156" s="26"/>
      <c r="NN156" s="26"/>
      <c r="NO156" s="26"/>
      <c r="NP156" s="26"/>
      <c r="NQ156" s="26"/>
      <c r="NR156" s="26"/>
      <c r="NS156" s="26"/>
      <c r="NT156" s="26"/>
      <c r="NU156" s="26"/>
      <c r="NV156" s="26"/>
      <c r="NW156" s="26"/>
      <c r="NX156" s="26"/>
      <c r="NY156" s="26"/>
      <c r="NZ156" s="26"/>
      <c r="OA156" s="26"/>
      <c r="OB156" s="26"/>
      <c r="OC156" s="26"/>
      <c r="OD156" s="26"/>
      <c r="OE156" s="26"/>
      <c r="OF156" s="26"/>
      <c r="OG156" s="26"/>
      <c r="OH156" s="23"/>
      <c r="OI156" s="26"/>
      <c r="OJ156" s="26"/>
      <c r="OK156" s="26"/>
      <c r="OL156" s="26"/>
      <c r="OM156" s="26"/>
      <c r="ON156" s="26"/>
      <c r="OO156" s="26"/>
      <c r="OP156" s="26"/>
      <c r="OQ156" s="26"/>
      <c r="OR156" s="26"/>
      <c r="OS156" s="26"/>
      <c r="OT156" s="26"/>
      <c r="OU156" s="26"/>
      <c r="OV156" s="26"/>
      <c r="OW156" s="26"/>
      <c r="OX156" s="26"/>
      <c r="OY156" s="26"/>
      <c r="OZ156" s="26"/>
      <c r="PA156" s="26"/>
      <c r="PB156" s="26"/>
      <c r="PC156" s="26"/>
      <c r="PD156" s="26"/>
      <c r="PE156" s="26"/>
      <c r="PF156" s="26"/>
      <c r="PG156" s="26"/>
      <c r="PH156" s="26"/>
      <c r="PI156" s="26"/>
      <c r="PJ156" s="26"/>
      <c r="PK156" s="26"/>
      <c r="PL156" s="26"/>
      <c r="PM156" s="26"/>
      <c r="PN156" s="26"/>
      <c r="PO156" s="26"/>
      <c r="PP156" s="26"/>
      <c r="PQ156" s="26"/>
      <c r="PR156" s="26"/>
      <c r="PS156" s="26"/>
      <c r="PT156" s="26"/>
    </row>
    <row r="157" spans="1:436" ht="15.75" thickBot="1" x14ac:dyDescent="0.3">
      <c r="A157" s="24"/>
      <c r="B157" s="25"/>
      <c r="C157" s="25"/>
      <c r="D157" s="25"/>
      <c r="E157" s="24"/>
      <c r="F157" s="24"/>
      <c r="G157" s="24"/>
      <c r="H157" s="23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3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3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3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3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3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3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  <c r="JD157" s="26"/>
      <c r="JE157" s="26"/>
      <c r="JF157" s="26"/>
      <c r="JG157" s="26"/>
      <c r="JH157" s="26"/>
      <c r="JI157" s="26"/>
      <c r="JJ157" s="26"/>
      <c r="JK157" s="26"/>
      <c r="JL157" s="26"/>
      <c r="JM157" s="26"/>
      <c r="JN157" s="26"/>
      <c r="JO157" s="26"/>
      <c r="JP157" s="26"/>
      <c r="JQ157" s="26"/>
      <c r="JR157" s="26"/>
      <c r="JS157" s="26"/>
      <c r="JT157" s="26"/>
      <c r="JU157" s="23"/>
      <c r="JV157" s="26"/>
      <c r="JW157" s="26"/>
      <c r="JX157" s="26"/>
      <c r="JY157" s="26"/>
      <c r="JZ157" s="26"/>
      <c r="KA157" s="26"/>
      <c r="KB157" s="26"/>
      <c r="KC157" s="26"/>
      <c r="KD157" s="26"/>
      <c r="KE157" s="26"/>
      <c r="KF157" s="26"/>
      <c r="KG157" s="26"/>
      <c r="KH157" s="26"/>
      <c r="KI157" s="26"/>
      <c r="KJ157" s="26"/>
      <c r="KK157" s="26"/>
      <c r="KL157" s="26"/>
      <c r="KM157" s="26"/>
      <c r="KN157" s="26"/>
      <c r="KO157" s="26"/>
      <c r="KP157" s="26"/>
      <c r="KQ157" s="26"/>
      <c r="KR157" s="26"/>
      <c r="KS157" s="26"/>
      <c r="KT157" s="26"/>
      <c r="KU157" s="26"/>
      <c r="KV157" s="26"/>
      <c r="KW157" s="26"/>
      <c r="KX157" s="26"/>
      <c r="KY157" s="26"/>
      <c r="KZ157" s="26"/>
      <c r="LA157" s="26"/>
      <c r="LB157" s="26"/>
      <c r="LC157" s="26"/>
      <c r="LD157" s="26"/>
      <c r="LE157" s="26"/>
      <c r="LF157" s="26"/>
      <c r="LG157" s="26"/>
      <c r="LH157" s="23"/>
      <c r="LI157" s="26"/>
      <c r="LJ157" s="26"/>
      <c r="LK157" s="26"/>
      <c r="LL157" s="26"/>
      <c r="LM157" s="26"/>
      <c r="LN157" s="26"/>
      <c r="LO157" s="26"/>
      <c r="LP157" s="26"/>
      <c r="LQ157" s="26"/>
      <c r="LR157" s="26"/>
      <c r="LS157" s="26"/>
      <c r="LT157" s="26"/>
      <c r="LU157" s="26"/>
      <c r="LV157" s="26"/>
      <c r="LW157" s="26"/>
      <c r="LX157" s="26"/>
      <c r="LY157" s="26"/>
      <c r="LZ157" s="26"/>
      <c r="MA157" s="26"/>
      <c r="MB157" s="26"/>
      <c r="MC157" s="26"/>
      <c r="MD157" s="26"/>
      <c r="ME157" s="26"/>
      <c r="MF157" s="26"/>
      <c r="MG157" s="26"/>
      <c r="MH157" s="26"/>
      <c r="MI157" s="26"/>
      <c r="MJ157" s="26"/>
      <c r="MK157" s="26"/>
      <c r="ML157" s="26"/>
      <c r="MM157" s="26"/>
      <c r="MN157" s="26"/>
      <c r="MO157" s="26"/>
      <c r="MP157" s="26"/>
      <c r="MQ157" s="26"/>
      <c r="MR157" s="26"/>
      <c r="MS157" s="26"/>
      <c r="MT157" s="26"/>
      <c r="MU157" s="23"/>
      <c r="MV157" s="26"/>
      <c r="MW157" s="26"/>
      <c r="MX157" s="26"/>
      <c r="MY157" s="26"/>
      <c r="MZ157" s="26"/>
      <c r="NA157" s="26"/>
      <c r="NB157" s="26"/>
      <c r="NC157" s="26"/>
      <c r="ND157" s="26"/>
      <c r="NE157" s="26"/>
      <c r="NF157" s="26"/>
      <c r="NG157" s="26"/>
      <c r="NH157" s="26"/>
      <c r="NI157" s="26"/>
      <c r="NJ157" s="26"/>
      <c r="NK157" s="26"/>
      <c r="NL157" s="26"/>
      <c r="NM157" s="26"/>
      <c r="NN157" s="26"/>
      <c r="NO157" s="26"/>
      <c r="NP157" s="26"/>
      <c r="NQ157" s="26"/>
      <c r="NR157" s="26"/>
      <c r="NS157" s="26"/>
      <c r="NT157" s="26"/>
      <c r="NU157" s="26"/>
      <c r="NV157" s="26"/>
      <c r="NW157" s="26"/>
      <c r="NX157" s="26"/>
      <c r="NY157" s="26"/>
      <c r="NZ157" s="26"/>
      <c r="OA157" s="26"/>
      <c r="OB157" s="26"/>
      <c r="OC157" s="26"/>
      <c r="OD157" s="26"/>
      <c r="OE157" s="26"/>
      <c r="OF157" s="26"/>
      <c r="OG157" s="26"/>
      <c r="OH157" s="23"/>
      <c r="OI157" s="26"/>
      <c r="OJ157" s="26"/>
      <c r="OK157" s="26"/>
      <c r="OL157" s="26"/>
      <c r="OM157" s="26"/>
      <c r="ON157" s="26"/>
      <c r="OO157" s="26"/>
      <c r="OP157" s="26"/>
      <c r="OQ157" s="26"/>
      <c r="OR157" s="26"/>
      <c r="OS157" s="26"/>
      <c r="OT157" s="26"/>
      <c r="OU157" s="26"/>
      <c r="OV157" s="26"/>
      <c r="OW157" s="26"/>
      <c r="OX157" s="26"/>
      <c r="OY157" s="26"/>
      <c r="OZ157" s="26"/>
      <c r="PA157" s="26"/>
      <c r="PB157" s="26"/>
      <c r="PC157" s="26"/>
      <c r="PD157" s="26"/>
      <c r="PE157" s="26"/>
      <c r="PF157" s="26"/>
      <c r="PG157" s="26"/>
      <c r="PH157" s="26"/>
      <c r="PI157" s="26"/>
      <c r="PJ157" s="26"/>
      <c r="PK157" s="26"/>
      <c r="PL157" s="26"/>
      <c r="PM157" s="26"/>
      <c r="PN157" s="26"/>
      <c r="PO157" s="26"/>
      <c r="PP157" s="26"/>
      <c r="PQ157" s="26"/>
      <c r="PR157" s="26"/>
      <c r="PS157" s="26"/>
      <c r="PT157" s="26"/>
    </row>
    <row r="158" spans="1:436" ht="15.75" thickBot="1" x14ac:dyDescent="0.3">
      <c r="A158" s="24"/>
      <c r="B158" s="25"/>
      <c r="C158" s="25"/>
      <c r="D158" s="25"/>
      <c r="E158" s="24"/>
      <c r="F158" s="24"/>
      <c r="G158" s="24"/>
      <c r="H158" s="23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3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3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3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3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3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3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  <c r="JD158" s="26"/>
      <c r="JE158" s="26"/>
      <c r="JF158" s="26"/>
      <c r="JG158" s="26"/>
      <c r="JH158" s="26"/>
      <c r="JI158" s="26"/>
      <c r="JJ158" s="26"/>
      <c r="JK158" s="26"/>
      <c r="JL158" s="26"/>
      <c r="JM158" s="26"/>
      <c r="JN158" s="26"/>
      <c r="JO158" s="26"/>
      <c r="JP158" s="26"/>
      <c r="JQ158" s="26"/>
      <c r="JR158" s="26"/>
      <c r="JS158" s="26"/>
      <c r="JT158" s="26"/>
      <c r="JU158" s="23"/>
      <c r="JV158" s="26"/>
      <c r="JW158" s="26"/>
      <c r="JX158" s="26"/>
      <c r="JY158" s="26"/>
      <c r="JZ158" s="26"/>
      <c r="KA158" s="26"/>
      <c r="KB158" s="26"/>
      <c r="KC158" s="26"/>
      <c r="KD158" s="26"/>
      <c r="KE158" s="26"/>
      <c r="KF158" s="26"/>
      <c r="KG158" s="26"/>
      <c r="KH158" s="26"/>
      <c r="KI158" s="26"/>
      <c r="KJ158" s="26"/>
      <c r="KK158" s="26"/>
      <c r="KL158" s="26"/>
      <c r="KM158" s="26"/>
      <c r="KN158" s="26"/>
      <c r="KO158" s="26"/>
      <c r="KP158" s="26"/>
      <c r="KQ158" s="26"/>
      <c r="KR158" s="26"/>
      <c r="KS158" s="26"/>
      <c r="KT158" s="26"/>
      <c r="KU158" s="26"/>
      <c r="KV158" s="26"/>
      <c r="KW158" s="26"/>
      <c r="KX158" s="26"/>
      <c r="KY158" s="26"/>
      <c r="KZ158" s="26"/>
      <c r="LA158" s="26"/>
      <c r="LB158" s="26"/>
      <c r="LC158" s="26"/>
      <c r="LD158" s="26"/>
      <c r="LE158" s="26"/>
      <c r="LF158" s="26"/>
      <c r="LG158" s="26"/>
      <c r="LH158" s="23"/>
      <c r="LI158" s="26"/>
      <c r="LJ158" s="26"/>
      <c r="LK158" s="26"/>
      <c r="LL158" s="26"/>
      <c r="LM158" s="26"/>
      <c r="LN158" s="26"/>
      <c r="LO158" s="26"/>
      <c r="LP158" s="26"/>
      <c r="LQ158" s="26"/>
      <c r="LR158" s="26"/>
      <c r="LS158" s="26"/>
      <c r="LT158" s="26"/>
      <c r="LU158" s="26"/>
      <c r="LV158" s="26"/>
      <c r="LW158" s="26"/>
      <c r="LX158" s="26"/>
      <c r="LY158" s="26"/>
      <c r="LZ158" s="26"/>
      <c r="MA158" s="26"/>
      <c r="MB158" s="26"/>
      <c r="MC158" s="26"/>
      <c r="MD158" s="26"/>
      <c r="ME158" s="26"/>
      <c r="MF158" s="26"/>
      <c r="MG158" s="26"/>
      <c r="MH158" s="26"/>
      <c r="MI158" s="26"/>
      <c r="MJ158" s="26"/>
      <c r="MK158" s="26"/>
      <c r="ML158" s="26"/>
      <c r="MM158" s="26"/>
      <c r="MN158" s="26"/>
      <c r="MO158" s="26"/>
      <c r="MP158" s="26"/>
      <c r="MQ158" s="26"/>
      <c r="MR158" s="26"/>
      <c r="MS158" s="26"/>
      <c r="MT158" s="26"/>
      <c r="MU158" s="23"/>
      <c r="MV158" s="26"/>
      <c r="MW158" s="26"/>
      <c r="MX158" s="26"/>
      <c r="MY158" s="26"/>
      <c r="MZ158" s="26"/>
      <c r="NA158" s="26"/>
      <c r="NB158" s="26"/>
      <c r="NC158" s="26"/>
      <c r="ND158" s="26"/>
      <c r="NE158" s="26"/>
      <c r="NF158" s="26"/>
      <c r="NG158" s="26"/>
      <c r="NH158" s="26"/>
      <c r="NI158" s="26"/>
      <c r="NJ158" s="26"/>
      <c r="NK158" s="26"/>
      <c r="NL158" s="26"/>
      <c r="NM158" s="26"/>
      <c r="NN158" s="26"/>
      <c r="NO158" s="26"/>
      <c r="NP158" s="26"/>
      <c r="NQ158" s="26"/>
      <c r="NR158" s="26"/>
      <c r="NS158" s="26"/>
      <c r="NT158" s="26"/>
      <c r="NU158" s="26"/>
      <c r="NV158" s="26"/>
      <c r="NW158" s="26"/>
      <c r="NX158" s="26"/>
      <c r="NY158" s="26"/>
      <c r="NZ158" s="26"/>
      <c r="OA158" s="26"/>
      <c r="OB158" s="26"/>
      <c r="OC158" s="26"/>
      <c r="OD158" s="26"/>
      <c r="OE158" s="26"/>
      <c r="OF158" s="26"/>
      <c r="OG158" s="26"/>
      <c r="OH158" s="23"/>
      <c r="OI158" s="26"/>
      <c r="OJ158" s="26"/>
      <c r="OK158" s="26"/>
      <c r="OL158" s="26"/>
      <c r="OM158" s="26"/>
      <c r="ON158" s="26"/>
      <c r="OO158" s="26"/>
      <c r="OP158" s="26"/>
      <c r="OQ158" s="26"/>
      <c r="OR158" s="26"/>
      <c r="OS158" s="26"/>
      <c r="OT158" s="26"/>
      <c r="OU158" s="26"/>
      <c r="OV158" s="26"/>
      <c r="OW158" s="26"/>
      <c r="OX158" s="26"/>
      <c r="OY158" s="26"/>
      <c r="OZ158" s="26"/>
      <c r="PA158" s="26"/>
      <c r="PB158" s="26"/>
      <c r="PC158" s="26"/>
      <c r="PD158" s="26"/>
      <c r="PE158" s="26"/>
      <c r="PF158" s="26"/>
      <c r="PG158" s="26"/>
      <c r="PH158" s="26"/>
      <c r="PI158" s="26"/>
      <c r="PJ158" s="26"/>
      <c r="PK158" s="26"/>
      <c r="PL158" s="26"/>
      <c r="PM158" s="26"/>
      <c r="PN158" s="26"/>
      <c r="PO158" s="26"/>
      <c r="PP158" s="26"/>
      <c r="PQ158" s="26"/>
      <c r="PR158" s="26"/>
      <c r="PS158" s="26"/>
      <c r="PT158" s="26"/>
    </row>
    <row r="159" spans="1:436" ht="15.75" thickBot="1" x14ac:dyDescent="0.3">
      <c r="A159" s="24"/>
      <c r="B159" s="25"/>
      <c r="C159" s="25"/>
      <c r="D159" s="25"/>
      <c r="E159" s="24"/>
      <c r="F159" s="24"/>
      <c r="G159" s="24"/>
      <c r="H159" s="23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3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3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3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3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3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3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  <c r="JD159" s="26"/>
      <c r="JE159" s="26"/>
      <c r="JF159" s="26"/>
      <c r="JG159" s="26"/>
      <c r="JH159" s="26"/>
      <c r="JI159" s="26"/>
      <c r="JJ159" s="26"/>
      <c r="JK159" s="26"/>
      <c r="JL159" s="26"/>
      <c r="JM159" s="26"/>
      <c r="JN159" s="26"/>
      <c r="JO159" s="26"/>
      <c r="JP159" s="26"/>
      <c r="JQ159" s="26"/>
      <c r="JR159" s="26"/>
      <c r="JS159" s="26"/>
      <c r="JT159" s="26"/>
      <c r="JU159" s="23"/>
      <c r="JV159" s="26"/>
      <c r="JW159" s="26"/>
      <c r="JX159" s="26"/>
      <c r="JY159" s="26"/>
      <c r="JZ159" s="26"/>
      <c r="KA159" s="26"/>
      <c r="KB159" s="26"/>
      <c r="KC159" s="26"/>
      <c r="KD159" s="26"/>
      <c r="KE159" s="26"/>
      <c r="KF159" s="26"/>
      <c r="KG159" s="26"/>
      <c r="KH159" s="26"/>
      <c r="KI159" s="26"/>
      <c r="KJ159" s="26"/>
      <c r="KK159" s="26"/>
      <c r="KL159" s="26"/>
      <c r="KM159" s="26"/>
      <c r="KN159" s="26"/>
      <c r="KO159" s="26"/>
      <c r="KP159" s="26"/>
      <c r="KQ159" s="26"/>
      <c r="KR159" s="26"/>
      <c r="KS159" s="26"/>
      <c r="KT159" s="26"/>
      <c r="KU159" s="26"/>
      <c r="KV159" s="26"/>
      <c r="KW159" s="26"/>
      <c r="KX159" s="26"/>
      <c r="KY159" s="26"/>
      <c r="KZ159" s="26"/>
      <c r="LA159" s="26"/>
      <c r="LB159" s="26"/>
      <c r="LC159" s="26"/>
      <c r="LD159" s="26"/>
      <c r="LE159" s="26"/>
      <c r="LF159" s="26"/>
      <c r="LG159" s="26"/>
      <c r="LH159" s="23"/>
      <c r="LI159" s="26"/>
      <c r="LJ159" s="26"/>
      <c r="LK159" s="26"/>
      <c r="LL159" s="26"/>
      <c r="LM159" s="26"/>
      <c r="LN159" s="26"/>
      <c r="LO159" s="26"/>
      <c r="LP159" s="26"/>
      <c r="LQ159" s="26"/>
      <c r="LR159" s="26"/>
      <c r="LS159" s="26"/>
      <c r="LT159" s="26"/>
      <c r="LU159" s="26"/>
      <c r="LV159" s="26"/>
      <c r="LW159" s="26"/>
      <c r="LX159" s="26"/>
      <c r="LY159" s="26"/>
      <c r="LZ159" s="26"/>
      <c r="MA159" s="26"/>
      <c r="MB159" s="26"/>
      <c r="MC159" s="26"/>
      <c r="MD159" s="26"/>
      <c r="ME159" s="26"/>
      <c r="MF159" s="26"/>
      <c r="MG159" s="26"/>
      <c r="MH159" s="26"/>
      <c r="MI159" s="26"/>
      <c r="MJ159" s="26"/>
      <c r="MK159" s="26"/>
      <c r="ML159" s="26"/>
      <c r="MM159" s="26"/>
      <c r="MN159" s="26"/>
      <c r="MO159" s="26"/>
      <c r="MP159" s="26"/>
      <c r="MQ159" s="26"/>
      <c r="MR159" s="26"/>
      <c r="MS159" s="26"/>
      <c r="MT159" s="26"/>
      <c r="MU159" s="23"/>
      <c r="MV159" s="26"/>
      <c r="MW159" s="26"/>
      <c r="MX159" s="26"/>
      <c r="MY159" s="26"/>
      <c r="MZ159" s="26"/>
      <c r="NA159" s="26"/>
      <c r="NB159" s="26"/>
      <c r="NC159" s="26"/>
      <c r="ND159" s="26"/>
      <c r="NE159" s="26"/>
      <c r="NF159" s="26"/>
      <c r="NG159" s="26"/>
      <c r="NH159" s="26"/>
      <c r="NI159" s="26"/>
      <c r="NJ159" s="26"/>
      <c r="NK159" s="26"/>
      <c r="NL159" s="26"/>
      <c r="NM159" s="26"/>
      <c r="NN159" s="26"/>
      <c r="NO159" s="26"/>
      <c r="NP159" s="26"/>
      <c r="NQ159" s="26"/>
      <c r="NR159" s="26"/>
      <c r="NS159" s="26"/>
      <c r="NT159" s="26"/>
      <c r="NU159" s="26"/>
      <c r="NV159" s="26"/>
      <c r="NW159" s="26"/>
      <c r="NX159" s="26"/>
      <c r="NY159" s="26"/>
      <c r="NZ159" s="26"/>
      <c r="OA159" s="26"/>
      <c r="OB159" s="26"/>
      <c r="OC159" s="26"/>
      <c r="OD159" s="26"/>
      <c r="OE159" s="26"/>
      <c r="OF159" s="26"/>
      <c r="OG159" s="26"/>
      <c r="OH159" s="23"/>
      <c r="OI159" s="26"/>
      <c r="OJ159" s="26"/>
      <c r="OK159" s="26"/>
      <c r="OL159" s="26"/>
      <c r="OM159" s="26"/>
      <c r="ON159" s="26"/>
      <c r="OO159" s="26"/>
      <c r="OP159" s="26"/>
      <c r="OQ159" s="26"/>
      <c r="OR159" s="26"/>
      <c r="OS159" s="26"/>
      <c r="OT159" s="26"/>
      <c r="OU159" s="26"/>
      <c r="OV159" s="26"/>
      <c r="OW159" s="26"/>
      <c r="OX159" s="26"/>
      <c r="OY159" s="26"/>
      <c r="OZ159" s="26"/>
      <c r="PA159" s="26"/>
      <c r="PB159" s="26"/>
      <c r="PC159" s="26"/>
      <c r="PD159" s="26"/>
      <c r="PE159" s="26"/>
      <c r="PF159" s="26"/>
      <c r="PG159" s="26"/>
      <c r="PH159" s="26"/>
      <c r="PI159" s="26"/>
      <c r="PJ159" s="26"/>
      <c r="PK159" s="26"/>
      <c r="PL159" s="26"/>
      <c r="PM159" s="26"/>
      <c r="PN159" s="26"/>
      <c r="PO159" s="26"/>
      <c r="PP159" s="26"/>
      <c r="PQ159" s="26"/>
      <c r="PR159" s="26"/>
      <c r="PS159" s="26"/>
      <c r="PT159" s="26"/>
    </row>
    <row r="160" spans="1:436" ht="15.75" thickBot="1" x14ac:dyDescent="0.3">
      <c r="A160" s="24"/>
      <c r="B160" s="25"/>
      <c r="C160" s="25"/>
      <c r="D160" s="25"/>
      <c r="E160" s="24"/>
      <c r="F160" s="24"/>
      <c r="G160" s="24"/>
      <c r="H160" s="23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3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3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3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3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3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3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W160" s="26"/>
      <c r="IX160" s="26"/>
      <c r="IY160" s="26"/>
      <c r="IZ160" s="26"/>
      <c r="JA160" s="26"/>
      <c r="JB160" s="26"/>
      <c r="JC160" s="26"/>
      <c r="JD160" s="26"/>
      <c r="JE160" s="26"/>
      <c r="JF160" s="26"/>
      <c r="JG160" s="26"/>
      <c r="JH160" s="26"/>
      <c r="JI160" s="26"/>
      <c r="JJ160" s="26"/>
      <c r="JK160" s="26"/>
      <c r="JL160" s="26"/>
      <c r="JM160" s="26"/>
      <c r="JN160" s="26"/>
      <c r="JO160" s="26"/>
      <c r="JP160" s="26"/>
      <c r="JQ160" s="26"/>
      <c r="JR160" s="26"/>
      <c r="JS160" s="26"/>
      <c r="JT160" s="26"/>
      <c r="JU160" s="23"/>
      <c r="JV160" s="26"/>
      <c r="JW160" s="26"/>
      <c r="JX160" s="26"/>
      <c r="JY160" s="26"/>
      <c r="JZ160" s="26"/>
      <c r="KA160" s="26"/>
      <c r="KB160" s="26"/>
      <c r="KC160" s="26"/>
      <c r="KD160" s="26"/>
      <c r="KE160" s="26"/>
      <c r="KF160" s="26"/>
      <c r="KG160" s="26"/>
      <c r="KH160" s="26"/>
      <c r="KI160" s="26"/>
      <c r="KJ160" s="26"/>
      <c r="KK160" s="26"/>
      <c r="KL160" s="26"/>
      <c r="KM160" s="26"/>
      <c r="KN160" s="26"/>
      <c r="KO160" s="26"/>
      <c r="KP160" s="26"/>
      <c r="KQ160" s="26"/>
      <c r="KR160" s="26"/>
      <c r="KS160" s="26"/>
      <c r="KT160" s="26"/>
      <c r="KU160" s="26"/>
      <c r="KV160" s="26"/>
      <c r="KW160" s="26"/>
      <c r="KX160" s="26"/>
      <c r="KY160" s="26"/>
      <c r="KZ160" s="26"/>
      <c r="LA160" s="26"/>
      <c r="LB160" s="26"/>
      <c r="LC160" s="26"/>
      <c r="LD160" s="26"/>
      <c r="LE160" s="26"/>
      <c r="LF160" s="26"/>
      <c r="LG160" s="26"/>
      <c r="LH160" s="23"/>
      <c r="LI160" s="26"/>
      <c r="LJ160" s="26"/>
      <c r="LK160" s="26"/>
      <c r="LL160" s="26"/>
      <c r="LM160" s="26"/>
      <c r="LN160" s="26"/>
      <c r="LO160" s="26"/>
      <c r="LP160" s="26"/>
      <c r="LQ160" s="26"/>
      <c r="LR160" s="26"/>
      <c r="LS160" s="26"/>
      <c r="LT160" s="26"/>
      <c r="LU160" s="26"/>
      <c r="LV160" s="26"/>
      <c r="LW160" s="26"/>
      <c r="LX160" s="26"/>
      <c r="LY160" s="26"/>
      <c r="LZ160" s="26"/>
      <c r="MA160" s="26"/>
      <c r="MB160" s="26"/>
      <c r="MC160" s="26"/>
      <c r="MD160" s="26"/>
      <c r="ME160" s="26"/>
      <c r="MF160" s="26"/>
      <c r="MG160" s="26"/>
      <c r="MH160" s="26"/>
      <c r="MI160" s="26"/>
      <c r="MJ160" s="26"/>
      <c r="MK160" s="26"/>
      <c r="ML160" s="26"/>
      <c r="MM160" s="26"/>
      <c r="MN160" s="26"/>
      <c r="MO160" s="26"/>
      <c r="MP160" s="26"/>
      <c r="MQ160" s="26"/>
      <c r="MR160" s="26"/>
      <c r="MS160" s="26"/>
      <c r="MT160" s="26"/>
      <c r="MU160" s="23"/>
      <c r="MV160" s="26"/>
      <c r="MW160" s="26"/>
      <c r="MX160" s="26"/>
      <c r="MY160" s="26"/>
      <c r="MZ160" s="26"/>
      <c r="NA160" s="26"/>
      <c r="NB160" s="26"/>
      <c r="NC160" s="26"/>
      <c r="ND160" s="26"/>
      <c r="NE160" s="26"/>
      <c r="NF160" s="26"/>
      <c r="NG160" s="26"/>
      <c r="NH160" s="26"/>
      <c r="NI160" s="26"/>
      <c r="NJ160" s="26"/>
      <c r="NK160" s="26"/>
      <c r="NL160" s="26"/>
      <c r="NM160" s="26"/>
      <c r="NN160" s="26"/>
      <c r="NO160" s="26"/>
      <c r="NP160" s="26"/>
      <c r="NQ160" s="26"/>
      <c r="NR160" s="26"/>
      <c r="NS160" s="26"/>
      <c r="NT160" s="26"/>
      <c r="NU160" s="26"/>
      <c r="NV160" s="26"/>
      <c r="NW160" s="26"/>
      <c r="NX160" s="26"/>
      <c r="NY160" s="26"/>
      <c r="NZ160" s="26"/>
      <c r="OA160" s="26"/>
      <c r="OB160" s="26"/>
      <c r="OC160" s="26"/>
      <c r="OD160" s="26"/>
      <c r="OE160" s="26"/>
      <c r="OF160" s="26"/>
      <c r="OG160" s="26"/>
      <c r="OH160" s="23"/>
      <c r="OI160" s="26"/>
      <c r="OJ160" s="26"/>
      <c r="OK160" s="26"/>
      <c r="OL160" s="26"/>
      <c r="OM160" s="26"/>
      <c r="ON160" s="26"/>
      <c r="OO160" s="26"/>
      <c r="OP160" s="26"/>
      <c r="OQ160" s="26"/>
      <c r="OR160" s="26"/>
      <c r="OS160" s="26"/>
      <c r="OT160" s="26"/>
      <c r="OU160" s="26"/>
      <c r="OV160" s="26"/>
      <c r="OW160" s="26"/>
      <c r="OX160" s="26"/>
      <c r="OY160" s="26"/>
      <c r="OZ160" s="26"/>
      <c r="PA160" s="26"/>
      <c r="PB160" s="26"/>
      <c r="PC160" s="26"/>
      <c r="PD160" s="26"/>
      <c r="PE160" s="26"/>
      <c r="PF160" s="26"/>
      <c r="PG160" s="26"/>
      <c r="PH160" s="26"/>
      <c r="PI160" s="26"/>
      <c r="PJ160" s="26"/>
      <c r="PK160" s="26"/>
      <c r="PL160" s="26"/>
      <c r="PM160" s="26"/>
      <c r="PN160" s="26"/>
      <c r="PO160" s="26"/>
      <c r="PP160" s="26"/>
      <c r="PQ160" s="26"/>
      <c r="PR160" s="26"/>
      <c r="PS160" s="26"/>
      <c r="PT160" s="26"/>
    </row>
    <row r="161" spans="1:436" ht="15.75" thickBot="1" x14ac:dyDescent="0.3">
      <c r="A161" s="24"/>
      <c r="B161" s="25"/>
      <c r="C161" s="25"/>
      <c r="D161" s="25"/>
      <c r="E161" s="24"/>
      <c r="F161" s="24"/>
      <c r="G161" s="24"/>
      <c r="H161" s="23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3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3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3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3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3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3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W161" s="26"/>
      <c r="IX161" s="26"/>
      <c r="IY161" s="26"/>
      <c r="IZ161" s="26"/>
      <c r="JA161" s="26"/>
      <c r="JB161" s="26"/>
      <c r="JC161" s="26"/>
      <c r="JD161" s="26"/>
      <c r="JE161" s="26"/>
      <c r="JF161" s="26"/>
      <c r="JG161" s="26"/>
      <c r="JH161" s="26"/>
      <c r="JI161" s="26"/>
      <c r="JJ161" s="26"/>
      <c r="JK161" s="26"/>
      <c r="JL161" s="26"/>
      <c r="JM161" s="26"/>
      <c r="JN161" s="26"/>
      <c r="JO161" s="26"/>
      <c r="JP161" s="26"/>
      <c r="JQ161" s="26"/>
      <c r="JR161" s="26"/>
      <c r="JS161" s="26"/>
      <c r="JT161" s="26"/>
      <c r="JU161" s="23"/>
      <c r="JV161" s="26"/>
      <c r="JW161" s="26"/>
      <c r="JX161" s="26"/>
      <c r="JY161" s="26"/>
      <c r="JZ161" s="26"/>
      <c r="KA161" s="26"/>
      <c r="KB161" s="26"/>
      <c r="KC161" s="26"/>
      <c r="KD161" s="26"/>
      <c r="KE161" s="26"/>
      <c r="KF161" s="26"/>
      <c r="KG161" s="26"/>
      <c r="KH161" s="26"/>
      <c r="KI161" s="26"/>
      <c r="KJ161" s="26"/>
      <c r="KK161" s="26"/>
      <c r="KL161" s="26"/>
      <c r="KM161" s="26"/>
      <c r="KN161" s="26"/>
      <c r="KO161" s="26"/>
      <c r="KP161" s="26"/>
      <c r="KQ161" s="26"/>
      <c r="KR161" s="26"/>
      <c r="KS161" s="26"/>
      <c r="KT161" s="26"/>
      <c r="KU161" s="26"/>
      <c r="KV161" s="26"/>
      <c r="KW161" s="26"/>
      <c r="KX161" s="26"/>
      <c r="KY161" s="26"/>
      <c r="KZ161" s="26"/>
      <c r="LA161" s="26"/>
      <c r="LB161" s="26"/>
      <c r="LC161" s="26"/>
      <c r="LD161" s="26"/>
      <c r="LE161" s="26"/>
      <c r="LF161" s="26"/>
      <c r="LG161" s="26"/>
      <c r="LH161" s="23"/>
      <c r="LI161" s="26"/>
      <c r="LJ161" s="26"/>
      <c r="LK161" s="26"/>
      <c r="LL161" s="26"/>
      <c r="LM161" s="26"/>
      <c r="LN161" s="26"/>
      <c r="LO161" s="26"/>
      <c r="LP161" s="26"/>
      <c r="LQ161" s="26"/>
      <c r="LR161" s="26"/>
      <c r="LS161" s="26"/>
      <c r="LT161" s="26"/>
      <c r="LU161" s="26"/>
      <c r="LV161" s="26"/>
      <c r="LW161" s="26"/>
      <c r="LX161" s="26"/>
      <c r="LY161" s="26"/>
      <c r="LZ161" s="26"/>
      <c r="MA161" s="26"/>
      <c r="MB161" s="26"/>
      <c r="MC161" s="26"/>
      <c r="MD161" s="26"/>
      <c r="ME161" s="26"/>
      <c r="MF161" s="26"/>
      <c r="MG161" s="26"/>
      <c r="MH161" s="26"/>
      <c r="MI161" s="26"/>
      <c r="MJ161" s="26"/>
      <c r="MK161" s="26"/>
      <c r="ML161" s="26"/>
      <c r="MM161" s="26"/>
      <c r="MN161" s="26"/>
      <c r="MO161" s="26"/>
      <c r="MP161" s="26"/>
      <c r="MQ161" s="26"/>
      <c r="MR161" s="26"/>
      <c r="MS161" s="26"/>
      <c r="MT161" s="26"/>
      <c r="MU161" s="23"/>
      <c r="MV161" s="26"/>
      <c r="MW161" s="26"/>
      <c r="MX161" s="26"/>
      <c r="MY161" s="26"/>
      <c r="MZ161" s="26"/>
      <c r="NA161" s="26"/>
      <c r="NB161" s="26"/>
      <c r="NC161" s="26"/>
      <c r="ND161" s="26"/>
      <c r="NE161" s="26"/>
      <c r="NF161" s="26"/>
      <c r="NG161" s="26"/>
      <c r="NH161" s="26"/>
      <c r="NI161" s="26"/>
      <c r="NJ161" s="26"/>
      <c r="NK161" s="26"/>
      <c r="NL161" s="26"/>
      <c r="NM161" s="26"/>
      <c r="NN161" s="26"/>
      <c r="NO161" s="26"/>
      <c r="NP161" s="26"/>
      <c r="NQ161" s="26"/>
      <c r="NR161" s="26"/>
      <c r="NS161" s="26"/>
      <c r="NT161" s="26"/>
      <c r="NU161" s="26"/>
      <c r="NV161" s="26"/>
      <c r="NW161" s="26"/>
      <c r="NX161" s="26"/>
      <c r="NY161" s="26"/>
      <c r="NZ161" s="26"/>
      <c r="OA161" s="26"/>
      <c r="OB161" s="26"/>
      <c r="OC161" s="26"/>
      <c r="OD161" s="26"/>
      <c r="OE161" s="26"/>
      <c r="OF161" s="26"/>
      <c r="OG161" s="26"/>
      <c r="OH161" s="23"/>
      <c r="OI161" s="26"/>
      <c r="OJ161" s="26"/>
      <c r="OK161" s="26"/>
      <c r="OL161" s="26"/>
      <c r="OM161" s="26"/>
      <c r="ON161" s="26"/>
      <c r="OO161" s="26"/>
      <c r="OP161" s="26"/>
      <c r="OQ161" s="26"/>
      <c r="OR161" s="26"/>
      <c r="OS161" s="26"/>
      <c r="OT161" s="26"/>
      <c r="OU161" s="26"/>
      <c r="OV161" s="26"/>
      <c r="OW161" s="26"/>
      <c r="OX161" s="26"/>
      <c r="OY161" s="26"/>
      <c r="OZ161" s="26"/>
      <c r="PA161" s="26"/>
      <c r="PB161" s="26"/>
      <c r="PC161" s="26"/>
      <c r="PD161" s="26"/>
      <c r="PE161" s="26"/>
      <c r="PF161" s="26"/>
      <c r="PG161" s="26"/>
      <c r="PH161" s="26"/>
      <c r="PI161" s="26"/>
      <c r="PJ161" s="26"/>
      <c r="PK161" s="26"/>
      <c r="PL161" s="26"/>
      <c r="PM161" s="26"/>
      <c r="PN161" s="26"/>
      <c r="PO161" s="26"/>
      <c r="PP161" s="26"/>
      <c r="PQ161" s="26"/>
      <c r="PR161" s="26"/>
      <c r="PS161" s="26"/>
      <c r="PT161" s="26"/>
    </row>
    <row r="162" spans="1:436" ht="15.75" thickBot="1" x14ac:dyDescent="0.3">
      <c r="A162" s="24"/>
      <c r="B162" s="25"/>
      <c r="C162" s="25"/>
      <c r="D162" s="25"/>
      <c r="E162" s="24"/>
      <c r="F162" s="24"/>
      <c r="G162" s="24"/>
      <c r="H162" s="23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3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3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3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3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3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3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W162" s="26"/>
      <c r="IX162" s="26"/>
      <c r="IY162" s="26"/>
      <c r="IZ162" s="26"/>
      <c r="JA162" s="26"/>
      <c r="JB162" s="26"/>
      <c r="JC162" s="26"/>
      <c r="JD162" s="26"/>
      <c r="JE162" s="26"/>
      <c r="JF162" s="26"/>
      <c r="JG162" s="26"/>
      <c r="JH162" s="26"/>
      <c r="JI162" s="26"/>
      <c r="JJ162" s="26"/>
      <c r="JK162" s="26"/>
      <c r="JL162" s="26"/>
      <c r="JM162" s="26"/>
      <c r="JN162" s="26"/>
      <c r="JO162" s="26"/>
      <c r="JP162" s="26"/>
      <c r="JQ162" s="26"/>
      <c r="JR162" s="26"/>
      <c r="JS162" s="26"/>
      <c r="JT162" s="26"/>
      <c r="JU162" s="23"/>
      <c r="JV162" s="26"/>
      <c r="JW162" s="26"/>
      <c r="JX162" s="26"/>
      <c r="JY162" s="26"/>
      <c r="JZ162" s="26"/>
      <c r="KA162" s="26"/>
      <c r="KB162" s="26"/>
      <c r="KC162" s="26"/>
      <c r="KD162" s="26"/>
      <c r="KE162" s="26"/>
      <c r="KF162" s="26"/>
      <c r="KG162" s="26"/>
      <c r="KH162" s="26"/>
      <c r="KI162" s="26"/>
      <c r="KJ162" s="26"/>
      <c r="KK162" s="26"/>
      <c r="KL162" s="26"/>
      <c r="KM162" s="26"/>
      <c r="KN162" s="26"/>
      <c r="KO162" s="26"/>
      <c r="KP162" s="26"/>
      <c r="KQ162" s="26"/>
      <c r="KR162" s="26"/>
      <c r="KS162" s="26"/>
      <c r="KT162" s="26"/>
      <c r="KU162" s="26"/>
      <c r="KV162" s="26"/>
      <c r="KW162" s="26"/>
      <c r="KX162" s="26"/>
      <c r="KY162" s="26"/>
      <c r="KZ162" s="26"/>
      <c r="LA162" s="26"/>
      <c r="LB162" s="26"/>
      <c r="LC162" s="26"/>
      <c r="LD162" s="26"/>
      <c r="LE162" s="26"/>
      <c r="LF162" s="26"/>
      <c r="LG162" s="26"/>
      <c r="LH162" s="23"/>
      <c r="LI162" s="26"/>
      <c r="LJ162" s="26"/>
      <c r="LK162" s="26"/>
      <c r="LL162" s="26"/>
      <c r="LM162" s="26"/>
      <c r="LN162" s="26"/>
      <c r="LO162" s="26"/>
      <c r="LP162" s="26"/>
      <c r="LQ162" s="26"/>
      <c r="LR162" s="26"/>
      <c r="LS162" s="26"/>
      <c r="LT162" s="26"/>
      <c r="LU162" s="26"/>
      <c r="LV162" s="26"/>
      <c r="LW162" s="26"/>
      <c r="LX162" s="26"/>
      <c r="LY162" s="26"/>
      <c r="LZ162" s="26"/>
      <c r="MA162" s="26"/>
      <c r="MB162" s="26"/>
      <c r="MC162" s="26"/>
      <c r="MD162" s="26"/>
      <c r="ME162" s="26"/>
      <c r="MF162" s="26"/>
      <c r="MG162" s="26"/>
      <c r="MH162" s="26"/>
      <c r="MI162" s="26"/>
      <c r="MJ162" s="26"/>
      <c r="MK162" s="26"/>
      <c r="ML162" s="26"/>
      <c r="MM162" s="26"/>
      <c r="MN162" s="26"/>
      <c r="MO162" s="26"/>
      <c r="MP162" s="26"/>
      <c r="MQ162" s="26"/>
      <c r="MR162" s="26"/>
      <c r="MS162" s="26"/>
      <c r="MT162" s="26"/>
      <c r="MU162" s="23"/>
      <c r="MV162" s="26"/>
      <c r="MW162" s="26"/>
      <c r="MX162" s="26"/>
      <c r="MY162" s="26"/>
      <c r="MZ162" s="26"/>
      <c r="NA162" s="26"/>
      <c r="NB162" s="26"/>
      <c r="NC162" s="26"/>
      <c r="ND162" s="26"/>
      <c r="NE162" s="26"/>
      <c r="NF162" s="26"/>
      <c r="NG162" s="26"/>
      <c r="NH162" s="26"/>
      <c r="NI162" s="26"/>
      <c r="NJ162" s="26"/>
      <c r="NK162" s="26"/>
      <c r="NL162" s="26"/>
      <c r="NM162" s="26"/>
      <c r="NN162" s="26"/>
      <c r="NO162" s="26"/>
      <c r="NP162" s="26"/>
      <c r="NQ162" s="26"/>
      <c r="NR162" s="26"/>
      <c r="NS162" s="26"/>
      <c r="NT162" s="26"/>
      <c r="NU162" s="26"/>
      <c r="NV162" s="26"/>
      <c r="NW162" s="26"/>
      <c r="NX162" s="26"/>
      <c r="NY162" s="26"/>
      <c r="NZ162" s="26"/>
      <c r="OA162" s="26"/>
      <c r="OB162" s="26"/>
      <c r="OC162" s="26"/>
      <c r="OD162" s="26"/>
      <c r="OE162" s="26"/>
      <c r="OF162" s="26"/>
      <c r="OG162" s="26"/>
      <c r="OH162" s="23"/>
      <c r="OI162" s="26"/>
      <c r="OJ162" s="26"/>
      <c r="OK162" s="26"/>
      <c r="OL162" s="26"/>
      <c r="OM162" s="26"/>
      <c r="ON162" s="26"/>
      <c r="OO162" s="26"/>
      <c r="OP162" s="26"/>
      <c r="OQ162" s="26"/>
      <c r="OR162" s="26"/>
      <c r="OS162" s="26"/>
      <c r="OT162" s="26"/>
      <c r="OU162" s="26"/>
      <c r="OV162" s="26"/>
      <c r="OW162" s="26"/>
      <c r="OX162" s="26"/>
      <c r="OY162" s="26"/>
      <c r="OZ162" s="26"/>
      <c r="PA162" s="26"/>
      <c r="PB162" s="26"/>
      <c r="PC162" s="26"/>
      <c r="PD162" s="26"/>
      <c r="PE162" s="26"/>
      <c r="PF162" s="26"/>
      <c r="PG162" s="26"/>
      <c r="PH162" s="26"/>
      <c r="PI162" s="26"/>
      <c r="PJ162" s="26"/>
      <c r="PK162" s="26"/>
      <c r="PL162" s="26"/>
      <c r="PM162" s="26"/>
      <c r="PN162" s="26"/>
      <c r="PO162" s="26"/>
      <c r="PP162" s="26"/>
      <c r="PQ162" s="26"/>
      <c r="PR162" s="26"/>
      <c r="PS162" s="26"/>
      <c r="PT162" s="26"/>
    </row>
    <row r="164" spans="1:436" ht="15.75" thickBot="1" x14ac:dyDescent="0.3">
      <c r="A164" s="27"/>
      <c r="B164" s="28"/>
      <c r="C164" s="104"/>
      <c r="D164" s="104"/>
      <c r="E164" s="27"/>
      <c r="F164" s="27"/>
      <c r="H164" s="23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3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3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3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3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  <c r="FS164" s="29"/>
      <c r="FT164" s="29"/>
      <c r="FU164" s="29"/>
      <c r="FV164" s="29"/>
      <c r="FW164" s="29"/>
      <c r="FX164" s="29"/>
      <c r="FY164" s="29"/>
      <c r="FZ164" s="29"/>
      <c r="GA164" s="29"/>
      <c r="GB164" s="29"/>
      <c r="GC164" s="29"/>
      <c r="GD164" s="29"/>
      <c r="GE164" s="29"/>
      <c r="GF164" s="29"/>
      <c r="GG164" s="29"/>
      <c r="GH164" s="29"/>
      <c r="GI164" s="29"/>
      <c r="GJ164" s="29"/>
      <c r="GK164" s="29"/>
      <c r="GL164" s="29"/>
      <c r="GM164" s="29"/>
      <c r="GN164" s="29"/>
      <c r="GO164" s="29"/>
      <c r="GP164" s="29"/>
      <c r="GQ164" s="29"/>
      <c r="GR164" s="29"/>
      <c r="GS164" s="29"/>
      <c r="GT164" s="29"/>
      <c r="GU164" s="23"/>
      <c r="GV164" s="29"/>
      <c r="GW164" s="29"/>
      <c r="GX164" s="29"/>
      <c r="GY164" s="29"/>
      <c r="GZ164" s="29"/>
      <c r="HA164" s="29"/>
      <c r="HB164" s="29"/>
      <c r="HC164" s="29"/>
      <c r="HD164" s="29"/>
      <c r="HE164" s="29"/>
      <c r="HF164" s="29"/>
      <c r="HG164" s="29"/>
      <c r="HH164" s="29"/>
      <c r="HI164" s="29"/>
      <c r="HJ164" s="29"/>
      <c r="HK164" s="29"/>
      <c r="HL164" s="29"/>
      <c r="HM164" s="29"/>
      <c r="HN164" s="29"/>
      <c r="HO164" s="29"/>
      <c r="HP164" s="29"/>
      <c r="HQ164" s="29"/>
      <c r="HR164" s="29"/>
      <c r="HS164" s="29"/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  <c r="IF164" s="29"/>
      <c r="IG164" s="29"/>
      <c r="IH164" s="23"/>
      <c r="II164" s="29"/>
      <c r="IJ164" s="29"/>
      <c r="IK164" s="29"/>
      <c r="IL164" s="29"/>
      <c r="IM164" s="29"/>
      <c r="IN164" s="29"/>
      <c r="IO164" s="29"/>
      <c r="IP164" s="29"/>
      <c r="IQ164" s="29"/>
      <c r="IR164" s="29"/>
      <c r="IS164" s="29"/>
      <c r="IT164" s="29"/>
      <c r="IU164" s="29"/>
      <c r="IV164" s="29"/>
      <c r="IW164" s="29"/>
      <c r="IX164" s="29"/>
      <c r="IY164" s="29"/>
      <c r="IZ164" s="29"/>
      <c r="JA164" s="29"/>
      <c r="JB164" s="29"/>
      <c r="JC164" s="29"/>
      <c r="JD164" s="29"/>
      <c r="JE164" s="29"/>
      <c r="JF164" s="29"/>
      <c r="JG164" s="29"/>
      <c r="JH164" s="29"/>
      <c r="JI164" s="29"/>
      <c r="JJ164" s="29"/>
      <c r="JK164" s="29"/>
      <c r="JL164" s="29"/>
      <c r="JM164" s="29"/>
      <c r="JN164" s="29"/>
      <c r="JO164" s="29"/>
      <c r="JP164" s="29"/>
      <c r="JQ164" s="29"/>
      <c r="JR164" s="29"/>
      <c r="JS164" s="29"/>
      <c r="JT164" s="29"/>
      <c r="JU164" s="23"/>
      <c r="JV164" s="29"/>
      <c r="JW164" s="29"/>
      <c r="JX164" s="29"/>
      <c r="JY164" s="29"/>
      <c r="JZ164" s="29"/>
      <c r="KA164" s="29"/>
      <c r="KB164" s="29"/>
      <c r="KC164" s="29"/>
      <c r="KD164" s="29"/>
      <c r="KE164" s="29"/>
      <c r="KF164" s="29"/>
      <c r="KG164" s="29"/>
      <c r="KH164" s="29"/>
      <c r="KI164" s="29"/>
      <c r="KJ164" s="29"/>
      <c r="KK164" s="29"/>
      <c r="KL164" s="29"/>
      <c r="KM164" s="29"/>
      <c r="KN164" s="29"/>
      <c r="KO164" s="29"/>
      <c r="KP164" s="29"/>
      <c r="KQ164" s="29"/>
      <c r="KR164" s="29"/>
      <c r="KS164" s="29"/>
      <c r="KT164" s="29"/>
      <c r="KU164" s="29"/>
      <c r="KV164" s="29"/>
      <c r="KW164" s="29"/>
      <c r="KX164" s="29"/>
      <c r="KY164" s="29"/>
      <c r="KZ164" s="29"/>
      <c r="LA164" s="29"/>
      <c r="LB164" s="29"/>
      <c r="LC164" s="29"/>
      <c r="LD164" s="29"/>
      <c r="LE164" s="29"/>
      <c r="LF164" s="29"/>
      <c r="LG164" s="29"/>
      <c r="LH164" s="23"/>
      <c r="LI164" s="29"/>
      <c r="LJ164" s="29"/>
      <c r="LK164" s="29"/>
      <c r="LL164" s="29"/>
      <c r="LM164" s="29"/>
      <c r="LN164" s="29"/>
      <c r="LO164" s="29"/>
      <c r="LP164" s="29"/>
      <c r="LQ164" s="29"/>
      <c r="LR164" s="29"/>
      <c r="LS164" s="29"/>
      <c r="LT164" s="29"/>
      <c r="LU164" s="29"/>
      <c r="LV164" s="29"/>
      <c r="LW164" s="29"/>
      <c r="LX164" s="29"/>
      <c r="LY164" s="29"/>
      <c r="LZ164" s="29"/>
      <c r="MA164" s="29"/>
      <c r="MB164" s="29"/>
      <c r="MC164" s="29"/>
      <c r="MD164" s="29"/>
      <c r="ME164" s="29"/>
      <c r="MF164" s="29"/>
      <c r="MG164" s="29"/>
      <c r="MH164" s="29"/>
      <c r="MI164" s="29"/>
      <c r="MJ164" s="29"/>
      <c r="MK164" s="29"/>
      <c r="ML164" s="29"/>
      <c r="MM164" s="29"/>
      <c r="MN164" s="29"/>
      <c r="MO164" s="29"/>
      <c r="MP164" s="29"/>
      <c r="MQ164" s="29"/>
      <c r="MR164" s="29"/>
      <c r="MS164" s="29"/>
      <c r="MT164" s="29"/>
      <c r="MU164" s="23"/>
      <c r="MV164" s="29"/>
      <c r="MW164" s="29"/>
      <c r="MX164" s="29"/>
      <c r="MY164" s="29"/>
      <c r="MZ164" s="29"/>
      <c r="NA164" s="29"/>
      <c r="NB164" s="29"/>
      <c r="NC164" s="29"/>
      <c r="ND164" s="29"/>
      <c r="NE164" s="29"/>
      <c r="NF164" s="29"/>
      <c r="NG164" s="29"/>
      <c r="NH164" s="29"/>
      <c r="NI164" s="29"/>
      <c r="NJ164" s="29"/>
      <c r="NK164" s="29"/>
      <c r="NL164" s="29"/>
      <c r="NM164" s="29"/>
      <c r="NN164" s="29"/>
      <c r="NO164" s="29"/>
      <c r="NP164" s="29"/>
      <c r="NQ164" s="29"/>
      <c r="NR164" s="29"/>
      <c r="NS164" s="29"/>
      <c r="NT164" s="29"/>
      <c r="NU164" s="29"/>
      <c r="NV164" s="29"/>
      <c r="NW164" s="29"/>
      <c r="NX164" s="29"/>
      <c r="NY164" s="29"/>
      <c r="NZ164" s="29"/>
      <c r="OA164" s="29"/>
      <c r="OB164" s="29"/>
      <c r="OC164" s="29"/>
      <c r="OD164" s="29"/>
      <c r="OE164" s="29"/>
      <c r="OF164" s="29"/>
      <c r="OG164" s="29"/>
      <c r="OH164" s="23"/>
      <c r="OI164" s="29"/>
      <c r="OJ164" s="29"/>
      <c r="OK164" s="29"/>
      <c r="OL164" s="29"/>
      <c r="OM164" s="29"/>
      <c r="ON164" s="29"/>
      <c r="OO164" s="29"/>
      <c r="OP164" s="29"/>
      <c r="OQ164" s="29"/>
      <c r="OR164" s="29"/>
      <c r="OS164" s="29"/>
      <c r="OT164" s="29"/>
      <c r="OU164" s="29"/>
      <c r="OV164" s="29"/>
      <c r="OW164" s="29"/>
      <c r="OX164" s="29"/>
      <c r="OY164" s="29"/>
      <c r="OZ164" s="29"/>
      <c r="PA164" s="29"/>
      <c r="PB164" s="29"/>
      <c r="PC164" s="29"/>
      <c r="PD164" s="29"/>
      <c r="PE164" s="29"/>
      <c r="PF164" s="29"/>
      <c r="PG164" s="29"/>
      <c r="PH164" s="29"/>
      <c r="PI164" s="29"/>
      <c r="PJ164" s="29"/>
      <c r="PK164" s="29"/>
      <c r="PL164" s="29"/>
      <c r="PM164" s="29"/>
      <c r="PN164" s="29"/>
      <c r="PO164" s="29"/>
      <c r="PP164" s="29"/>
      <c r="PQ164" s="29"/>
      <c r="PR164" s="29"/>
      <c r="PS164" s="29"/>
      <c r="PT164" s="29"/>
    </row>
    <row r="165" spans="1:436" ht="15.75" thickBot="1" x14ac:dyDescent="0.3">
      <c r="A165" s="30"/>
      <c r="B165" s="31"/>
      <c r="C165" s="105"/>
      <c r="D165" s="105"/>
      <c r="E165" s="30"/>
      <c r="F165" s="30"/>
      <c r="H165" s="23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23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23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23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23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23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  <c r="IG165" s="32"/>
      <c r="IH165" s="23"/>
      <c r="II165" s="32"/>
      <c r="IJ165" s="32"/>
      <c r="IK165" s="32"/>
      <c r="IL165" s="32"/>
      <c r="IM165" s="32"/>
      <c r="IN165" s="32"/>
      <c r="IO165" s="32"/>
      <c r="IP165" s="32"/>
      <c r="IQ165" s="32"/>
      <c r="IR165" s="32"/>
      <c r="IS165" s="32"/>
      <c r="IT165" s="32"/>
      <c r="IU165" s="32"/>
      <c r="IV165" s="32"/>
      <c r="IW165" s="32"/>
      <c r="IX165" s="32"/>
      <c r="IY165" s="32"/>
      <c r="IZ165" s="32"/>
      <c r="JA165" s="32"/>
      <c r="JB165" s="32"/>
      <c r="JC165" s="32"/>
      <c r="JD165" s="32"/>
      <c r="JE165" s="32"/>
      <c r="JF165" s="32"/>
      <c r="JG165" s="32"/>
      <c r="JH165" s="32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23"/>
      <c r="JV165" s="32"/>
      <c r="JW165" s="32"/>
      <c r="JX165" s="32"/>
      <c r="JY165" s="32"/>
      <c r="JZ165" s="32"/>
      <c r="KA165" s="32"/>
      <c r="KB165" s="32"/>
      <c r="KC165" s="32"/>
      <c r="KD165" s="32"/>
      <c r="KE165" s="32"/>
      <c r="KF165" s="32"/>
      <c r="KG165" s="32"/>
      <c r="KH165" s="32"/>
      <c r="KI165" s="32"/>
      <c r="KJ165" s="32"/>
      <c r="KK165" s="32"/>
      <c r="KL165" s="32"/>
      <c r="KM165" s="32"/>
      <c r="KN165" s="32"/>
      <c r="KO165" s="32"/>
      <c r="KP165" s="32"/>
      <c r="KQ165" s="32"/>
      <c r="KR165" s="32"/>
      <c r="KS165" s="32"/>
      <c r="KT165" s="32"/>
      <c r="KU165" s="32"/>
      <c r="KV165" s="32"/>
      <c r="KW165" s="32"/>
      <c r="KX165" s="32"/>
      <c r="KY165" s="32"/>
      <c r="KZ165" s="32"/>
      <c r="LA165" s="32"/>
      <c r="LB165" s="32"/>
      <c r="LC165" s="32"/>
      <c r="LD165" s="32"/>
      <c r="LE165" s="32"/>
      <c r="LF165" s="32"/>
      <c r="LG165" s="32"/>
      <c r="LH165" s="23"/>
      <c r="LI165" s="32"/>
      <c r="LJ165" s="32"/>
      <c r="LK165" s="32"/>
      <c r="LL165" s="32"/>
      <c r="LM165" s="32"/>
      <c r="LN165" s="32"/>
      <c r="LO165" s="32"/>
      <c r="LP165" s="32"/>
      <c r="LQ165" s="32"/>
      <c r="LR165" s="32"/>
      <c r="LS165" s="32"/>
      <c r="LT165" s="32"/>
      <c r="LU165" s="32"/>
      <c r="LV165" s="32"/>
      <c r="LW165" s="32"/>
      <c r="LX165" s="32"/>
      <c r="LY165" s="32"/>
      <c r="LZ165" s="32"/>
      <c r="MA165" s="32"/>
      <c r="MB165" s="32"/>
      <c r="MC165" s="32"/>
      <c r="MD165" s="32"/>
      <c r="ME165" s="32"/>
      <c r="MF165" s="32"/>
      <c r="MG165" s="32"/>
      <c r="MH165" s="32"/>
      <c r="MI165" s="32"/>
      <c r="MJ165" s="32"/>
      <c r="MK165" s="32"/>
      <c r="ML165" s="32"/>
      <c r="MM165" s="32"/>
      <c r="MN165" s="32"/>
      <c r="MO165" s="32"/>
      <c r="MP165" s="32"/>
      <c r="MQ165" s="32"/>
      <c r="MR165" s="32"/>
      <c r="MS165" s="32"/>
      <c r="MT165" s="32"/>
      <c r="MU165" s="23"/>
      <c r="MV165" s="32"/>
      <c r="MW165" s="32"/>
      <c r="MX165" s="32"/>
      <c r="MY165" s="32"/>
      <c r="MZ165" s="32"/>
      <c r="NA165" s="32"/>
      <c r="NB165" s="32"/>
      <c r="NC165" s="32"/>
      <c r="ND165" s="32"/>
      <c r="NE165" s="32"/>
      <c r="NF165" s="32"/>
      <c r="NG165" s="32"/>
      <c r="NH165" s="32"/>
      <c r="NI165" s="32"/>
      <c r="NJ165" s="32"/>
      <c r="NK165" s="32"/>
      <c r="NL165" s="32"/>
      <c r="NM165" s="32"/>
      <c r="NN165" s="32"/>
      <c r="NO165" s="32"/>
      <c r="NP165" s="32"/>
      <c r="NQ165" s="32"/>
      <c r="NR165" s="32"/>
      <c r="NS165" s="32"/>
      <c r="NT165" s="32"/>
      <c r="NU165" s="32"/>
      <c r="NV165" s="32"/>
      <c r="NW165" s="32"/>
      <c r="NX165" s="32"/>
      <c r="NY165" s="32"/>
      <c r="NZ165" s="32"/>
      <c r="OA165" s="32"/>
      <c r="OB165" s="32"/>
      <c r="OC165" s="32"/>
      <c r="OD165" s="32"/>
      <c r="OE165" s="32"/>
      <c r="OF165" s="32"/>
      <c r="OG165" s="32"/>
      <c r="OH165" s="23"/>
      <c r="OI165" s="32"/>
      <c r="OJ165" s="32"/>
      <c r="OK165" s="32"/>
      <c r="OL165" s="32"/>
      <c r="OM165" s="32"/>
      <c r="ON165" s="32"/>
      <c r="OO165" s="32"/>
      <c r="OP165" s="32"/>
      <c r="OQ165" s="32"/>
      <c r="OR165" s="32"/>
      <c r="OS165" s="32"/>
      <c r="OT165" s="32"/>
      <c r="OU165" s="32"/>
      <c r="OV165" s="32"/>
      <c r="OW165" s="32"/>
      <c r="OX165" s="32"/>
      <c r="OY165" s="32"/>
      <c r="OZ165" s="32"/>
      <c r="PA165" s="32"/>
      <c r="PB165" s="32"/>
      <c r="PC165" s="32"/>
      <c r="PD165" s="32"/>
      <c r="PE165" s="32"/>
      <c r="PF165" s="32"/>
      <c r="PG165" s="32"/>
      <c r="PH165" s="32"/>
      <c r="PI165" s="32"/>
      <c r="PJ165" s="32"/>
      <c r="PK165" s="32"/>
      <c r="PL165" s="32"/>
      <c r="PM165" s="32"/>
      <c r="PN165" s="32"/>
      <c r="PO165" s="32"/>
      <c r="PP165" s="32"/>
      <c r="PQ165" s="32"/>
      <c r="PR165" s="32"/>
      <c r="PS165" s="32"/>
      <c r="PT165" s="32"/>
    </row>
    <row r="167" spans="1:436" ht="15.75" thickBot="1" x14ac:dyDescent="0.3">
      <c r="B167" s="31"/>
      <c r="C167" s="105"/>
      <c r="D167" s="105"/>
      <c r="H167" s="23"/>
      <c r="I167" s="90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9"/>
      <c r="AU167" s="23"/>
      <c r="AV167" s="90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9"/>
      <c r="CH167" s="23"/>
      <c r="CI167" s="90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9"/>
      <c r="DU167" s="23"/>
      <c r="DV167" s="90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9"/>
      <c r="FH167" s="23"/>
      <c r="FI167" s="90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  <c r="FU167" s="88"/>
      <c r="FV167" s="88"/>
      <c r="FW167" s="88"/>
      <c r="FX167" s="88"/>
      <c r="FY167" s="88"/>
      <c r="FZ167" s="88"/>
      <c r="GA167" s="88"/>
      <c r="GB167" s="88"/>
      <c r="GC167" s="88"/>
      <c r="GD167" s="88"/>
      <c r="GE167" s="88"/>
      <c r="GF167" s="88"/>
      <c r="GG167" s="88"/>
      <c r="GH167" s="88"/>
      <c r="GI167" s="88"/>
      <c r="GJ167" s="88"/>
      <c r="GK167" s="88"/>
      <c r="GL167" s="88"/>
      <c r="GM167" s="88"/>
      <c r="GN167" s="88"/>
      <c r="GO167" s="88"/>
      <c r="GP167" s="88"/>
      <c r="GQ167" s="88"/>
      <c r="GR167" s="88"/>
      <c r="GS167" s="88"/>
      <c r="GT167" s="89"/>
      <c r="GU167" s="23"/>
      <c r="GV167" s="90"/>
      <c r="GW167" s="88"/>
      <c r="GX167" s="88"/>
      <c r="GY167" s="88"/>
      <c r="GZ167" s="88"/>
      <c r="HA167" s="88"/>
      <c r="HB167" s="88"/>
      <c r="HC167" s="88"/>
      <c r="HD167" s="88"/>
      <c r="HE167" s="88"/>
      <c r="HF167" s="88"/>
      <c r="HG167" s="88"/>
      <c r="HH167" s="88"/>
      <c r="HI167" s="88"/>
      <c r="HJ167" s="88"/>
      <c r="HK167" s="88"/>
      <c r="HL167" s="88"/>
      <c r="HM167" s="88"/>
      <c r="HN167" s="88"/>
      <c r="HO167" s="88"/>
      <c r="HP167" s="88"/>
      <c r="HQ167" s="88"/>
      <c r="HR167" s="88"/>
      <c r="HS167" s="88"/>
      <c r="HT167" s="88"/>
      <c r="HU167" s="88"/>
      <c r="HV167" s="88"/>
      <c r="HW167" s="88"/>
      <c r="HX167" s="88"/>
      <c r="HY167" s="88"/>
      <c r="HZ167" s="88"/>
      <c r="IA167" s="88"/>
      <c r="IB167" s="88"/>
      <c r="IC167" s="88"/>
      <c r="ID167" s="88"/>
      <c r="IE167" s="88"/>
      <c r="IF167" s="88"/>
      <c r="IG167" s="89"/>
      <c r="IH167" s="23"/>
      <c r="II167" s="90"/>
      <c r="IJ167" s="88"/>
      <c r="IK167" s="88"/>
      <c r="IL167" s="88"/>
      <c r="IM167" s="88"/>
      <c r="IN167" s="88"/>
      <c r="IO167" s="88"/>
      <c r="IP167" s="88"/>
      <c r="IQ167" s="88"/>
      <c r="IR167" s="88"/>
      <c r="IS167" s="88"/>
      <c r="IT167" s="88"/>
      <c r="IU167" s="88"/>
      <c r="IV167" s="88"/>
      <c r="IW167" s="88"/>
      <c r="IX167" s="88"/>
      <c r="IY167" s="88"/>
      <c r="IZ167" s="88"/>
      <c r="JA167" s="88"/>
      <c r="JB167" s="88"/>
      <c r="JC167" s="88"/>
      <c r="JD167" s="88"/>
      <c r="JE167" s="88"/>
      <c r="JF167" s="88"/>
      <c r="JG167" s="88"/>
      <c r="JH167" s="88"/>
      <c r="JI167" s="88"/>
      <c r="JJ167" s="88"/>
      <c r="JK167" s="88"/>
      <c r="JL167" s="88"/>
      <c r="JM167" s="88"/>
      <c r="JN167" s="88"/>
      <c r="JO167" s="88"/>
      <c r="JP167" s="88"/>
      <c r="JQ167" s="88"/>
      <c r="JR167" s="88"/>
      <c r="JS167" s="88"/>
      <c r="JT167" s="89"/>
      <c r="JU167" s="23"/>
      <c r="JV167" s="90"/>
      <c r="JW167" s="88"/>
      <c r="JX167" s="88"/>
      <c r="JY167" s="88"/>
      <c r="JZ167" s="88"/>
      <c r="KA167" s="88"/>
      <c r="KB167" s="88"/>
      <c r="KC167" s="88"/>
      <c r="KD167" s="88"/>
      <c r="KE167" s="88"/>
      <c r="KF167" s="88"/>
      <c r="KG167" s="88"/>
      <c r="KH167" s="88"/>
      <c r="KI167" s="88"/>
      <c r="KJ167" s="88"/>
      <c r="KK167" s="88"/>
      <c r="KL167" s="88"/>
      <c r="KM167" s="88"/>
      <c r="KN167" s="88"/>
      <c r="KO167" s="88"/>
      <c r="KP167" s="88"/>
      <c r="KQ167" s="88"/>
      <c r="KR167" s="88"/>
      <c r="KS167" s="88"/>
      <c r="KT167" s="88"/>
      <c r="KU167" s="88"/>
      <c r="KV167" s="88"/>
      <c r="KW167" s="88"/>
      <c r="KX167" s="88"/>
      <c r="KY167" s="88"/>
      <c r="KZ167" s="88"/>
      <c r="LA167" s="88"/>
      <c r="LB167" s="88"/>
      <c r="LC167" s="88"/>
      <c r="LD167" s="88"/>
      <c r="LE167" s="88"/>
      <c r="LF167" s="88"/>
      <c r="LG167" s="89"/>
      <c r="LH167" s="23"/>
      <c r="LI167" s="90"/>
      <c r="LJ167" s="88"/>
      <c r="LK167" s="88"/>
      <c r="LL167" s="88"/>
      <c r="LM167" s="88"/>
      <c r="LN167" s="88"/>
      <c r="LO167" s="88"/>
      <c r="LP167" s="88"/>
      <c r="LQ167" s="88"/>
      <c r="LR167" s="88"/>
      <c r="LS167" s="88"/>
      <c r="LT167" s="88"/>
      <c r="LU167" s="88"/>
      <c r="LV167" s="88"/>
      <c r="LW167" s="88"/>
      <c r="LX167" s="88"/>
      <c r="LY167" s="88"/>
      <c r="LZ167" s="88"/>
      <c r="MA167" s="88"/>
      <c r="MB167" s="88"/>
      <c r="MC167" s="88"/>
      <c r="MD167" s="88"/>
      <c r="ME167" s="88"/>
      <c r="MF167" s="88"/>
      <c r="MG167" s="88"/>
      <c r="MH167" s="88"/>
      <c r="MI167" s="88"/>
      <c r="MJ167" s="88"/>
      <c r="MK167" s="88"/>
      <c r="ML167" s="88"/>
      <c r="MM167" s="88"/>
      <c r="MN167" s="88"/>
      <c r="MO167" s="88"/>
      <c r="MP167" s="88"/>
      <c r="MQ167" s="88"/>
      <c r="MR167" s="88"/>
      <c r="MS167" s="88"/>
      <c r="MT167" s="89"/>
      <c r="MU167" s="23"/>
      <c r="MV167" s="90"/>
      <c r="MW167" s="88"/>
      <c r="MX167" s="88"/>
      <c r="MY167" s="88"/>
      <c r="MZ167" s="88"/>
      <c r="NA167" s="88"/>
      <c r="NB167" s="88"/>
      <c r="NC167" s="88"/>
      <c r="ND167" s="88"/>
      <c r="NE167" s="88"/>
      <c r="NF167" s="88"/>
      <c r="NG167" s="88"/>
      <c r="NH167" s="88"/>
      <c r="NI167" s="88"/>
      <c r="NJ167" s="88"/>
      <c r="NK167" s="88"/>
      <c r="NL167" s="88"/>
      <c r="NM167" s="88"/>
      <c r="NN167" s="88"/>
      <c r="NO167" s="88"/>
      <c r="NP167" s="88"/>
      <c r="NQ167" s="88"/>
      <c r="NR167" s="88"/>
      <c r="NS167" s="88"/>
      <c r="NT167" s="88"/>
      <c r="NU167" s="88"/>
      <c r="NV167" s="88"/>
      <c r="NW167" s="88"/>
      <c r="NX167" s="88"/>
      <c r="NY167" s="88"/>
      <c r="NZ167" s="88"/>
      <c r="OA167" s="88"/>
      <c r="OB167" s="88"/>
      <c r="OC167" s="88"/>
      <c r="OD167" s="88"/>
      <c r="OE167" s="88"/>
      <c r="OF167" s="88"/>
      <c r="OG167" s="89"/>
      <c r="OH167" s="23"/>
      <c r="OI167" s="90"/>
      <c r="OJ167" s="88"/>
      <c r="OK167" s="88"/>
      <c r="OL167" s="88"/>
      <c r="OM167" s="88"/>
      <c r="ON167" s="88"/>
      <c r="OO167" s="88"/>
      <c r="OP167" s="88"/>
      <c r="OQ167" s="88"/>
      <c r="OR167" s="88"/>
      <c r="OS167" s="88"/>
      <c r="OT167" s="88"/>
      <c r="OU167" s="88"/>
      <c r="OV167" s="88"/>
      <c r="OW167" s="88"/>
      <c r="OX167" s="88"/>
      <c r="OY167" s="88"/>
      <c r="OZ167" s="88"/>
      <c r="PA167" s="88"/>
      <c r="PB167" s="88"/>
      <c r="PC167" s="88"/>
      <c r="PD167" s="88"/>
      <c r="PE167" s="88"/>
      <c r="PF167" s="88"/>
      <c r="PG167" s="88"/>
      <c r="PH167" s="88"/>
      <c r="PI167" s="88"/>
      <c r="PJ167" s="88"/>
      <c r="PK167" s="88"/>
      <c r="PL167" s="88"/>
      <c r="PM167" s="88"/>
      <c r="PN167" s="88"/>
      <c r="PO167" s="88"/>
      <c r="PP167" s="88"/>
      <c r="PQ167" s="88"/>
      <c r="PR167" s="88"/>
      <c r="PS167" s="88"/>
      <c r="PT167" s="89"/>
    </row>
    <row r="168" spans="1:436" ht="15" customHeight="1" thickBot="1" x14ac:dyDescent="0.3"/>
    <row r="169" spans="1:436" ht="15" customHeight="1" thickBot="1" x14ac:dyDescent="0.3">
      <c r="A169" s="98"/>
      <c r="B169" s="88"/>
      <c r="C169" s="88"/>
      <c r="D169" s="88"/>
      <c r="E169" s="88"/>
      <c r="F169" s="88"/>
      <c r="G169" s="88"/>
      <c r="H169" s="88"/>
      <c r="I169" s="88"/>
      <c r="J169" s="89"/>
    </row>
    <row r="170" spans="1:436" x14ac:dyDescent="0.25">
      <c r="A170" s="1"/>
      <c r="B170" s="2"/>
      <c r="C170" s="2"/>
      <c r="D170" s="2"/>
      <c r="E170" s="84"/>
      <c r="F170" s="85"/>
      <c r="G170" s="85"/>
      <c r="H170" s="85"/>
      <c r="I170" s="85"/>
      <c r="J170" s="86"/>
    </row>
    <row r="171" spans="1:436" x14ac:dyDescent="0.25">
      <c r="A171" s="4"/>
      <c r="B171" s="5"/>
      <c r="C171" s="5"/>
      <c r="D171" s="5"/>
      <c r="E171" s="84"/>
      <c r="F171" s="85"/>
      <c r="G171" s="85"/>
      <c r="H171" s="85"/>
      <c r="I171" s="85"/>
      <c r="J171" s="86"/>
    </row>
    <row r="172" spans="1:436" x14ac:dyDescent="0.25">
      <c r="A172" s="6"/>
      <c r="B172" s="7"/>
      <c r="C172" s="7"/>
      <c r="D172" s="7"/>
      <c r="E172" s="84"/>
      <c r="F172" s="85"/>
      <c r="G172" s="85"/>
      <c r="H172" s="85"/>
      <c r="I172" s="85"/>
      <c r="J172" s="86"/>
    </row>
    <row r="173" spans="1:436" x14ac:dyDescent="0.25">
      <c r="A173" s="8"/>
      <c r="B173" s="9"/>
      <c r="C173" s="9"/>
      <c r="D173" s="9"/>
      <c r="E173" s="84"/>
      <c r="F173" s="85"/>
      <c r="G173" s="85"/>
      <c r="H173" s="85"/>
      <c r="I173" s="85"/>
      <c r="J173" s="86"/>
    </row>
    <row r="174" spans="1:436" x14ac:dyDescent="0.25">
      <c r="A174" s="10"/>
      <c r="B174" s="11"/>
      <c r="C174" s="11"/>
      <c r="D174" s="11"/>
      <c r="E174" s="84"/>
      <c r="F174" s="85"/>
      <c r="G174" s="85"/>
      <c r="H174" s="85"/>
      <c r="I174" s="85"/>
      <c r="J174" s="86"/>
    </row>
    <row r="175" spans="1:436" x14ac:dyDescent="0.25">
      <c r="A175" s="12"/>
      <c r="B175" s="13"/>
      <c r="C175" s="13"/>
      <c r="D175" s="13"/>
      <c r="E175" s="84"/>
      <c r="F175" s="85"/>
      <c r="G175" s="85"/>
      <c r="H175" s="85"/>
      <c r="I175" s="85"/>
      <c r="J175" s="86"/>
    </row>
    <row r="176" spans="1:436" x14ac:dyDescent="0.25">
      <c r="A176" s="14"/>
      <c r="B176" s="15"/>
      <c r="C176" s="15"/>
      <c r="D176" s="15"/>
      <c r="E176" s="84"/>
      <c r="F176" s="85"/>
      <c r="G176" s="85"/>
      <c r="H176" s="85"/>
      <c r="I176" s="85"/>
      <c r="J176" s="86"/>
    </row>
    <row r="177" spans="1:10" x14ac:dyDescent="0.25">
      <c r="A177" s="16"/>
      <c r="B177" s="17"/>
      <c r="C177" s="17"/>
      <c r="D177" s="17"/>
      <c r="E177" s="84"/>
      <c r="F177" s="85"/>
      <c r="G177" s="85"/>
      <c r="H177" s="85"/>
      <c r="I177" s="85"/>
      <c r="J177" s="86"/>
    </row>
    <row r="178" spans="1:10" x14ac:dyDescent="0.25">
      <c r="A178" s="18"/>
      <c r="B178" s="19"/>
      <c r="C178" s="19"/>
      <c r="D178" s="19"/>
      <c r="E178" s="84"/>
      <c r="F178" s="85"/>
      <c r="G178" s="85"/>
      <c r="H178" s="85"/>
      <c r="I178" s="85"/>
      <c r="J178" s="86"/>
    </row>
  </sheetData>
  <mergeCells count="70">
    <mergeCell ref="DM4:DN4"/>
    <mergeCell ref="DO4:DP4"/>
    <mergeCell ref="DQ4:DR4"/>
    <mergeCell ref="DS4:DT4"/>
    <mergeCell ref="DA4:DB4"/>
    <mergeCell ref="DC4:DD4"/>
    <mergeCell ref="DE4:DF4"/>
    <mergeCell ref="DG4:DH4"/>
    <mergeCell ref="DI4:DJ4"/>
    <mergeCell ref="DK4:DL4"/>
    <mergeCell ref="E178:J178"/>
    <mergeCell ref="CI4:CJ4"/>
    <mergeCell ref="CK4:CL4"/>
    <mergeCell ref="CM4:CN4"/>
    <mergeCell ref="CO4:CP4"/>
    <mergeCell ref="CQ4:CR4"/>
    <mergeCell ref="E172:J172"/>
    <mergeCell ref="E173:J173"/>
    <mergeCell ref="E174:J174"/>
    <mergeCell ref="E175:J175"/>
    <mergeCell ref="E176:J176"/>
    <mergeCell ref="E177:J177"/>
    <mergeCell ref="LI167:MT167"/>
    <mergeCell ref="MV167:OG167"/>
    <mergeCell ref="OI167:PT167"/>
    <mergeCell ref="A169:J169"/>
    <mergeCell ref="E170:J170"/>
    <mergeCell ref="E171:J171"/>
    <mergeCell ref="A146:PT146"/>
    <mergeCell ref="A155:PT155"/>
    <mergeCell ref="I167:AT167"/>
    <mergeCell ref="AV167:CG167"/>
    <mergeCell ref="CI167:DT167"/>
    <mergeCell ref="DV167:FG167"/>
    <mergeCell ref="FI167:GT167"/>
    <mergeCell ref="GV167:IG167"/>
    <mergeCell ref="II167:JT167"/>
    <mergeCell ref="JV167:LG167"/>
    <mergeCell ref="A79:PT79"/>
    <mergeCell ref="A87:PT87"/>
    <mergeCell ref="A100:PT100"/>
    <mergeCell ref="A111:PT111"/>
    <mergeCell ref="A118:PT118"/>
    <mergeCell ref="A138:PT138"/>
    <mergeCell ref="OI3:PT3"/>
    <mergeCell ref="A5:PT5"/>
    <mergeCell ref="A20:PT20"/>
    <mergeCell ref="A50:PT50"/>
    <mergeCell ref="A60:PT60"/>
    <mergeCell ref="A69:PT69"/>
    <mergeCell ref="CS4:CT4"/>
    <mergeCell ref="CU4:CV4"/>
    <mergeCell ref="CW4:CX4"/>
    <mergeCell ref="CY4:CZ4"/>
    <mergeCell ref="FI3:GT3"/>
    <mergeCell ref="GV3:IG3"/>
    <mergeCell ref="II3:JT3"/>
    <mergeCell ref="JV3:LG3"/>
    <mergeCell ref="LI3:MT3"/>
    <mergeCell ref="MV3:OG3"/>
    <mergeCell ref="A2:G3"/>
    <mergeCell ref="H2:AT2"/>
    <mergeCell ref="AU2:CG2"/>
    <mergeCell ref="CH2:GT2"/>
    <mergeCell ref="GU2:MT2"/>
    <mergeCell ref="MU2:PT2"/>
    <mergeCell ref="I3:AT3"/>
    <mergeCell ref="AV3:CG3"/>
    <mergeCell ref="CI3:DT3"/>
    <mergeCell ref="DV3:FG3"/>
  </mergeCells>
  <conditionalFormatting sqref="F5:F162">
    <cfRule type="cellIs" dxfId="17" priority="1" operator="equal">
      <formula>"T0: Ideation"</formula>
    </cfRule>
    <cfRule type="cellIs" dxfId="16" priority="2" operator="equal">
      <formula>"T1: R&amp;D"</formula>
    </cfRule>
    <cfRule type="cellIs" dxfId="15" priority="3" operator="equal">
      <formula>"T2: GDD/TDD/Brief"</formula>
    </cfRule>
    <cfRule type="cellIs" dxfId="14" priority="4" operator="equal">
      <formula>"T3: Prototype"</formula>
    </cfRule>
    <cfRule type="cellIs" dxfId="13" priority="5" operator="equal">
      <formula>"T4: MVP"</formula>
    </cfRule>
    <cfRule type="cellIs" dxfId="12" priority="6" operator="equal">
      <formula>"T5: Feature Complete"</formula>
    </cfRule>
    <cfRule type="cellIs" dxfId="11" priority="7" operator="equal">
      <formula>"T6: Player Tested"</formula>
    </cfRule>
    <cfRule type="cellIs" dxfId="10" priority="8" operator="equal">
      <formula>"T7: Expand"</formula>
    </cfRule>
    <cfRule type="cellIs" dxfId="9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F5:F162" xr:uid="{ACBDA094-FE80-4258-A37D-644DB5D5C157}">
      <formula1>"T0: Ideation,T1: R&amp;D,T2: GDD/TDD/Brief,T3: Prototype,T4: MVP,T5: Feature Complete,T6: Player Tested,T7: Expand,T8: Scale"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A20" sqref="AA20"/>
    </sheetView>
  </sheetViews>
  <sheetFormatPr defaultRowHeight="15" x14ac:dyDescent="0.25"/>
  <cols>
    <col min="1" max="1" width="22" customWidth="1"/>
    <col min="2" max="2" width="12" customWidth="1"/>
    <col min="3" max="14" width="14" customWidth="1"/>
  </cols>
  <sheetData>
    <row r="1" spans="1:14" ht="50.1" customHeight="1" x14ac:dyDescent="0.25">
      <c r="A1" s="33" t="s">
        <v>21</v>
      </c>
      <c r="B1" s="33" t="s">
        <v>257</v>
      </c>
      <c r="C1" s="21" t="s">
        <v>258</v>
      </c>
      <c r="D1" s="21" t="s">
        <v>259</v>
      </c>
      <c r="E1" s="21" t="s">
        <v>260</v>
      </c>
      <c r="F1" s="21" t="s">
        <v>261</v>
      </c>
      <c r="G1" s="21" t="s">
        <v>262</v>
      </c>
      <c r="H1" s="21" t="s">
        <v>263</v>
      </c>
      <c r="I1" s="21" t="s">
        <v>264</v>
      </c>
      <c r="J1" s="21" t="s">
        <v>265</v>
      </c>
      <c r="K1" s="21" t="s">
        <v>266</v>
      </c>
      <c r="L1" s="21" t="s">
        <v>267</v>
      </c>
      <c r="M1" s="21" t="s">
        <v>268</v>
      </c>
      <c r="N1" s="34" t="s">
        <v>269</v>
      </c>
    </row>
    <row r="2" spans="1:14" x14ac:dyDescent="0.25">
      <c r="A2" s="35" t="s">
        <v>64</v>
      </c>
      <c r="B2" s="36">
        <v>11</v>
      </c>
      <c r="C2" s="37">
        <f>SUM(Plan!G6:AR16)</f>
        <v>0</v>
      </c>
      <c r="D2" s="37">
        <f>SUM(Plan!AT6:CE16)</f>
        <v>0</v>
      </c>
      <c r="E2" s="37">
        <f>SUM(Plan!CG6:DR16)</f>
        <v>0</v>
      </c>
      <c r="F2" s="37">
        <f>SUM(Plan!DT6:FE16)</f>
        <v>0</v>
      </c>
      <c r="G2" s="37">
        <f>SUM(Plan!FG6:GR16)</f>
        <v>0</v>
      </c>
      <c r="H2" s="37">
        <f>SUM(Plan!GT6:IE16)</f>
        <v>0</v>
      </c>
      <c r="I2" s="37">
        <f>SUM(Plan!IG6:JR16)</f>
        <v>0</v>
      </c>
      <c r="J2" s="37">
        <f>SUM(Plan!JT6:LE16)</f>
        <v>0</v>
      </c>
      <c r="K2" s="37">
        <f>SUM(Plan!LG6:MR16)</f>
        <v>0</v>
      </c>
      <c r="L2" s="37">
        <f>SUM(Plan!MT6:OE16)</f>
        <v>0</v>
      </c>
      <c r="M2" s="37">
        <f>SUM(Plan!OG6:PR16)</f>
        <v>0</v>
      </c>
      <c r="N2" s="38">
        <f t="shared" ref="N2:N14" si="0">SUM(C2:M2)</f>
        <v>0</v>
      </c>
    </row>
    <row r="3" spans="1:14" x14ac:dyDescent="0.25">
      <c r="A3" s="35" t="s">
        <v>82</v>
      </c>
      <c r="B3" s="36">
        <v>29</v>
      </c>
      <c r="C3" s="37">
        <f>SUM(Plan!G18:AR46)</f>
        <v>0</v>
      </c>
      <c r="D3" s="37">
        <f>SUM(Plan!AT18:CE46)</f>
        <v>0</v>
      </c>
      <c r="E3" s="37">
        <f>SUM(Plan!CG18:DR46)</f>
        <v>0</v>
      </c>
      <c r="F3" s="37">
        <f>SUM(Plan!DT18:FE46)</f>
        <v>0</v>
      </c>
      <c r="G3" s="37">
        <f>SUM(Plan!FG18:GR46)</f>
        <v>0</v>
      </c>
      <c r="H3" s="37">
        <f>SUM(Plan!GT18:IE46)</f>
        <v>0</v>
      </c>
      <c r="I3" s="37">
        <f>SUM(Plan!IG18:JR46)</f>
        <v>0</v>
      </c>
      <c r="J3" s="37">
        <f>SUM(Plan!JT18:LE46)</f>
        <v>0</v>
      </c>
      <c r="K3" s="37">
        <f>SUM(Plan!LG18:MR46)</f>
        <v>0</v>
      </c>
      <c r="L3" s="37">
        <f>SUM(Plan!MT18:OE46)</f>
        <v>0</v>
      </c>
      <c r="M3" s="37">
        <f>SUM(Plan!OG18:PR46)</f>
        <v>0</v>
      </c>
      <c r="N3" s="38">
        <f t="shared" si="0"/>
        <v>0</v>
      </c>
    </row>
    <row r="4" spans="1:14" x14ac:dyDescent="0.25">
      <c r="A4" s="35" t="s">
        <v>113</v>
      </c>
      <c r="B4" s="36">
        <v>9</v>
      </c>
      <c r="C4" s="37">
        <f>SUM(Plan!G48:AR56)</f>
        <v>0</v>
      </c>
      <c r="D4" s="37">
        <f>SUM(Plan!AT48:CE56)</f>
        <v>0</v>
      </c>
      <c r="E4" s="37">
        <f>SUM(Plan!CG48:DR56)</f>
        <v>0</v>
      </c>
      <c r="F4" s="37">
        <f>SUM(Plan!DT48:FE56)</f>
        <v>0</v>
      </c>
      <c r="G4" s="37">
        <f>SUM(Plan!FG48:GR56)</f>
        <v>0</v>
      </c>
      <c r="H4" s="37">
        <f>SUM(Plan!GT48:IE56)</f>
        <v>0</v>
      </c>
      <c r="I4" s="37">
        <f>SUM(Plan!IG48:JR56)</f>
        <v>0</v>
      </c>
      <c r="J4" s="37">
        <f>SUM(Plan!JT48:LE56)</f>
        <v>0</v>
      </c>
      <c r="K4" s="37">
        <f>SUM(Plan!LG48:MR56)</f>
        <v>0</v>
      </c>
      <c r="L4" s="37">
        <f>SUM(Plan!MT48:OE56)</f>
        <v>0</v>
      </c>
      <c r="M4" s="37">
        <f>SUM(Plan!OG48:PR56)</f>
        <v>0</v>
      </c>
      <c r="N4" s="38">
        <f t="shared" si="0"/>
        <v>0</v>
      </c>
    </row>
    <row r="5" spans="1:14" x14ac:dyDescent="0.25">
      <c r="A5" s="35" t="s">
        <v>123</v>
      </c>
      <c r="B5" s="36">
        <v>8</v>
      </c>
      <c r="C5" s="37">
        <f>SUM(Plan!G58:AR65)</f>
        <v>0</v>
      </c>
      <c r="D5" s="37">
        <f>SUM(Plan!AT58:CE65)</f>
        <v>0</v>
      </c>
      <c r="E5" s="37">
        <f>SUM(Plan!CG58:DR65)</f>
        <v>0</v>
      </c>
      <c r="F5" s="37">
        <f>SUM(Plan!DT58:FE65)</f>
        <v>0</v>
      </c>
      <c r="G5" s="37">
        <f>SUM(Plan!FG58:GR65)</f>
        <v>0</v>
      </c>
      <c r="H5" s="37">
        <f>SUM(Plan!GT58:IE65)</f>
        <v>0</v>
      </c>
      <c r="I5" s="37">
        <f>SUM(Plan!IG58:JR65)</f>
        <v>0</v>
      </c>
      <c r="J5" s="37">
        <f>SUM(Plan!JT58:LE65)</f>
        <v>0</v>
      </c>
      <c r="K5" s="37">
        <f>SUM(Plan!LG58:MR65)</f>
        <v>0</v>
      </c>
      <c r="L5" s="37">
        <f>SUM(Plan!MT58:OE65)</f>
        <v>0</v>
      </c>
      <c r="M5" s="37">
        <f>SUM(Plan!OG58:PR65)</f>
        <v>0</v>
      </c>
      <c r="N5" s="38">
        <f t="shared" si="0"/>
        <v>0</v>
      </c>
    </row>
    <row r="6" spans="1:14" x14ac:dyDescent="0.25">
      <c r="A6" s="35" t="s">
        <v>132</v>
      </c>
      <c r="B6" s="36">
        <v>9</v>
      </c>
      <c r="C6" s="37">
        <f>SUM(Plan!G67:AR75)</f>
        <v>0</v>
      </c>
      <c r="D6" s="37">
        <f>SUM(Plan!AT67:CE75)</f>
        <v>0</v>
      </c>
      <c r="E6" s="37">
        <f>SUM(Plan!CG67:DR75)</f>
        <v>0</v>
      </c>
      <c r="F6" s="37">
        <f>SUM(Plan!DT67:FE75)</f>
        <v>0</v>
      </c>
      <c r="G6" s="37">
        <f>SUM(Plan!FG67:GR75)</f>
        <v>0</v>
      </c>
      <c r="H6" s="37">
        <f>SUM(Plan!GT67:IE75)</f>
        <v>0</v>
      </c>
      <c r="I6" s="37">
        <f>SUM(Plan!IG67:JR75)</f>
        <v>0</v>
      </c>
      <c r="J6" s="37">
        <f>SUM(Plan!JT67:LE75)</f>
        <v>0</v>
      </c>
      <c r="K6" s="37">
        <f>SUM(Plan!LG67:MR75)</f>
        <v>0</v>
      </c>
      <c r="L6" s="37">
        <f>SUM(Plan!MT67:OE75)</f>
        <v>0</v>
      </c>
      <c r="M6" s="37">
        <f>SUM(Plan!OG67:PR75)</f>
        <v>0</v>
      </c>
      <c r="N6" s="38">
        <f t="shared" si="0"/>
        <v>0</v>
      </c>
    </row>
    <row r="7" spans="1:14" x14ac:dyDescent="0.25">
      <c r="A7" s="35" t="s">
        <v>142</v>
      </c>
      <c r="B7" s="36">
        <v>7</v>
      </c>
      <c r="C7" s="37">
        <f>SUM(Plan!G77:AR83)</f>
        <v>0</v>
      </c>
      <c r="D7" s="37">
        <f>SUM(Plan!AT77:CE83)</f>
        <v>0</v>
      </c>
      <c r="E7" s="37">
        <f>SUM(Plan!CG77:DR83)</f>
        <v>0</v>
      </c>
      <c r="F7" s="37">
        <f>SUM(Plan!DT77:FE83)</f>
        <v>0</v>
      </c>
      <c r="G7" s="37">
        <f>SUM(Plan!FG77:GR83)</f>
        <v>0</v>
      </c>
      <c r="H7" s="37">
        <f>SUM(Plan!GT77:IE83)</f>
        <v>0</v>
      </c>
      <c r="I7" s="37">
        <f>SUM(Plan!IG77:JR83)</f>
        <v>0</v>
      </c>
      <c r="J7" s="37">
        <f>SUM(Plan!JT77:LE83)</f>
        <v>0</v>
      </c>
      <c r="K7" s="37">
        <f>SUM(Plan!LG77:MR83)</f>
        <v>0</v>
      </c>
      <c r="L7" s="37">
        <f>SUM(Plan!MT77:OE83)</f>
        <v>0</v>
      </c>
      <c r="M7" s="37">
        <f>SUM(Plan!OG77:PR83)</f>
        <v>0</v>
      </c>
      <c r="N7" s="38">
        <f t="shared" si="0"/>
        <v>0</v>
      </c>
    </row>
    <row r="8" spans="1:14" x14ac:dyDescent="0.25">
      <c r="A8" s="35" t="s">
        <v>150</v>
      </c>
      <c r="B8" s="36">
        <v>12</v>
      </c>
      <c r="C8" s="37">
        <f>SUM(Plan!G85:AR96)</f>
        <v>0</v>
      </c>
      <c r="D8" s="37">
        <f>SUM(Plan!AT85:CE96)</f>
        <v>0</v>
      </c>
      <c r="E8" s="37">
        <f>SUM(Plan!CG85:DR96)</f>
        <v>0</v>
      </c>
      <c r="F8" s="37">
        <f>SUM(Plan!DT85:FE96)</f>
        <v>0</v>
      </c>
      <c r="G8" s="37">
        <f>SUM(Plan!FG85:GR96)</f>
        <v>0</v>
      </c>
      <c r="H8" s="37">
        <f>SUM(Plan!GT85:IE96)</f>
        <v>0</v>
      </c>
      <c r="I8" s="37">
        <f>SUM(Plan!IG85:JR96)</f>
        <v>0</v>
      </c>
      <c r="J8" s="37">
        <f>SUM(Plan!JT85:LE96)</f>
        <v>0</v>
      </c>
      <c r="K8" s="37">
        <f>SUM(Plan!LG85:MR96)</f>
        <v>0</v>
      </c>
      <c r="L8" s="37">
        <f>SUM(Plan!MT85:OE96)</f>
        <v>0</v>
      </c>
      <c r="M8" s="37">
        <f>SUM(Plan!OG85:PR96)</f>
        <v>0</v>
      </c>
      <c r="N8" s="38">
        <f t="shared" si="0"/>
        <v>0</v>
      </c>
    </row>
    <row r="9" spans="1:14" x14ac:dyDescent="0.25">
      <c r="A9" s="35" t="s">
        <v>163</v>
      </c>
      <c r="B9" s="36">
        <v>10</v>
      </c>
      <c r="C9" s="37">
        <f>SUM(Plan!G98:AR107)</f>
        <v>0</v>
      </c>
      <c r="D9" s="37">
        <f>SUM(Plan!AT98:CE107)</f>
        <v>0</v>
      </c>
      <c r="E9" s="37">
        <f>SUM(Plan!CG98:DR107)</f>
        <v>0</v>
      </c>
      <c r="F9" s="37">
        <f>SUM(Plan!DT98:FE107)</f>
        <v>0</v>
      </c>
      <c r="G9" s="37">
        <f>SUM(Plan!FG98:GR107)</f>
        <v>0</v>
      </c>
      <c r="H9" s="37">
        <f>SUM(Plan!GT98:IE107)</f>
        <v>0</v>
      </c>
      <c r="I9" s="37">
        <f>SUM(Plan!IG98:JR107)</f>
        <v>0</v>
      </c>
      <c r="J9" s="37">
        <f>SUM(Plan!JT98:LE107)</f>
        <v>0</v>
      </c>
      <c r="K9" s="37">
        <f>SUM(Plan!LG98:MR107)</f>
        <v>0</v>
      </c>
      <c r="L9" s="37">
        <f>SUM(Plan!MT98:OE107)</f>
        <v>0</v>
      </c>
      <c r="M9" s="37">
        <f>SUM(Plan!OG98:PR107)</f>
        <v>0</v>
      </c>
      <c r="N9" s="38">
        <f t="shared" si="0"/>
        <v>0</v>
      </c>
    </row>
    <row r="10" spans="1:14" x14ac:dyDescent="0.25">
      <c r="A10" s="35" t="s">
        <v>174</v>
      </c>
      <c r="B10" s="36">
        <v>6</v>
      </c>
      <c r="C10" s="37">
        <f>SUM(Plan!G109:AR114)</f>
        <v>0</v>
      </c>
      <c r="D10" s="37">
        <f>SUM(Plan!AT109:CE114)</f>
        <v>0</v>
      </c>
      <c r="E10" s="37">
        <f>SUM(Plan!CG109:DR114)</f>
        <v>0</v>
      </c>
      <c r="F10" s="37">
        <f>SUM(Plan!DT109:FE114)</f>
        <v>0</v>
      </c>
      <c r="G10" s="37">
        <f>SUM(Plan!FG109:GR114)</f>
        <v>0</v>
      </c>
      <c r="H10" s="37">
        <f>SUM(Plan!GT109:IE114)</f>
        <v>0</v>
      </c>
      <c r="I10" s="37">
        <f>SUM(Plan!IG109:JR114)</f>
        <v>0</v>
      </c>
      <c r="J10" s="37">
        <f>SUM(Plan!JT109:LE114)</f>
        <v>0</v>
      </c>
      <c r="K10" s="37">
        <f>SUM(Plan!LG109:MR114)</f>
        <v>0</v>
      </c>
      <c r="L10" s="37">
        <f>SUM(Plan!MT109:OE114)</f>
        <v>0</v>
      </c>
      <c r="M10" s="37">
        <f>SUM(Plan!OG109:PR114)</f>
        <v>0</v>
      </c>
      <c r="N10" s="38">
        <f t="shared" si="0"/>
        <v>0</v>
      </c>
    </row>
    <row r="11" spans="1:14" x14ac:dyDescent="0.25">
      <c r="A11" s="35" t="s">
        <v>182</v>
      </c>
      <c r="B11" s="36">
        <v>19</v>
      </c>
      <c r="C11" s="37">
        <f>SUM(Plan!G116:AR134)</f>
        <v>0</v>
      </c>
      <c r="D11" s="37">
        <f>SUM(Plan!AT116:CE134)</f>
        <v>0</v>
      </c>
      <c r="E11" s="37">
        <f>SUM(Plan!CG116:DR134)</f>
        <v>0</v>
      </c>
      <c r="F11" s="37">
        <f>SUM(Plan!DT116:FE134)</f>
        <v>0</v>
      </c>
      <c r="G11" s="37">
        <f>SUM(Plan!FG116:GR134)</f>
        <v>0</v>
      </c>
      <c r="H11" s="37">
        <f>SUM(Plan!GT116:IE134)</f>
        <v>0</v>
      </c>
      <c r="I11" s="37">
        <f>SUM(Plan!IG116:JR134)</f>
        <v>0</v>
      </c>
      <c r="J11" s="37">
        <f>SUM(Plan!JT116:LE134)</f>
        <v>0</v>
      </c>
      <c r="K11" s="37">
        <f>SUM(Plan!LG116:MR134)</f>
        <v>0</v>
      </c>
      <c r="L11" s="37">
        <f>SUM(Plan!MT116:OE134)</f>
        <v>0</v>
      </c>
      <c r="M11" s="37">
        <f>SUM(Plan!OG116:PR134)</f>
        <v>0</v>
      </c>
      <c r="N11" s="38">
        <f t="shared" si="0"/>
        <v>0</v>
      </c>
    </row>
    <row r="12" spans="1:14" x14ac:dyDescent="0.25">
      <c r="A12" s="35" t="s">
        <v>202</v>
      </c>
      <c r="B12" s="36">
        <v>7</v>
      </c>
      <c r="C12" s="37">
        <f>SUM(Plan!G136:AR142)</f>
        <v>0</v>
      </c>
      <c r="D12" s="37">
        <f>SUM(Plan!AT136:CE142)</f>
        <v>0</v>
      </c>
      <c r="E12" s="37">
        <f>SUM(Plan!CG136:DR142)</f>
        <v>0</v>
      </c>
      <c r="F12" s="37">
        <f>SUM(Plan!DT136:FE142)</f>
        <v>0</v>
      </c>
      <c r="G12" s="37">
        <f>SUM(Plan!FG136:GR142)</f>
        <v>0</v>
      </c>
      <c r="H12" s="37">
        <f>SUM(Plan!GT136:IE142)</f>
        <v>0</v>
      </c>
      <c r="I12" s="37">
        <f>SUM(Plan!IG136:JR142)</f>
        <v>0</v>
      </c>
      <c r="J12" s="37">
        <f>SUM(Plan!JT136:LE142)</f>
        <v>0</v>
      </c>
      <c r="K12" s="37">
        <f>SUM(Plan!LG136:MR142)</f>
        <v>0</v>
      </c>
      <c r="L12" s="37">
        <f>SUM(Plan!MT136:OE142)</f>
        <v>0</v>
      </c>
      <c r="M12" s="37">
        <f>SUM(Plan!OG136:PR142)</f>
        <v>0</v>
      </c>
      <c r="N12" s="38">
        <f t="shared" si="0"/>
        <v>0</v>
      </c>
    </row>
    <row r="13" spans="1:14" x14ac:dyDescent="0.25">
      <c r="A13" s="35" t="s">
        <v>210</v>
      </c>
      <c r="B13" s="36">
        <v>8</v>
      </c>
      <c r="C13" s="37">
        <f>SUM(Plan!G144:AR151)</f>
        <v>0</v>
      </c>
      <c r="D13" s="37">
        <f>SUM(Plan!AT144:CE151)</f>
        <v>0</v>
      </c>
      <c r="E13" s="37">
        <f>SUM(Plan!CG144:DR151)</f>
        <v>0</v>
      </c>
      <c r="F13" s="37">
        <f>SUM(Plan!DT144:FE151)</f>
        <v>0</v>
      </c>
      <c r="G13" s="37">
        <f>SUM(Plan!FG144:GR151)</f>
        <v>0</v>
      </c>
      <c r="H13" s="37">
        <f>SUM(Plan!GT144:IE151)</f>
        <v>0</v>
      </c>
      <c r="I13" s="37">
        <f>SUM(Plan!IG144:JR151)</f>
        <v>0</v>
      </c>
      <c r="J13" s="37">
        <f>SUM(Plan!JT144:LE151)</f>
        <v>0</v>
      </c>
      <c r="K13" s="37">
        <f>SUM(Plan!LG144:MR151)</f>
        <v>0</v>
      </c>
      <c r="L13" s="37">
        <f>SUM(Plan!MT144:OE151)</f>
        <v>0</v>
      </c>
      <c r="M13" s="37">
        <f>SUM(Plan!OG144:PR151)</f>
        <v>0</v>
      </c>
      <c r="N13" s="38">
        <f t="shared" si="0"/>
        <v>0</v>
      </c>
    </row>
    <row r="14" spans="1:14" x14ac:dyDescent="0.25">
      <c r="A14" s="35" t="s">
        <v>218</v>
      </c>
      <c r="B14" s="36">
        <v>7</v>
      </c>
      <c r="C14" s="37">
        <f>SUM(Plan!G153:AR159)</f>
        <v>0</v>
      </c>
      <c r="D14" s="37">
        <f>SUM(Plan!AT153:CE159)</f>
        <v>0</v>
      </c>
      <c r="E14" s="37">
        <f>SUM(Plan!CG153:DR159)</f>
        <v>0</v>
      </c>
      <c r="F14" s="37">
        <f>SUM(Plan!DT153:FE159)</f>
        <v>0</v>
      </c>
      <c r="G14" s="37">
        <f>SUM(Plan!FG153:GR159)</f>
        <v>0</v>
      </c>
      <c r="H14" s="37">
        <f>SUM(Plan!GT153:IE159)</f>
        <v>0</v>
      </c>
      <c r="I14" s="37">
        <f>SUM(Plan!IG153:JR159)</f>
        <v>0</v>
      </c>
      <c r="J14" s="37">
        <f>SUM(Plan!JT153:LE159)</f>
        <v>0</v>
      </c>
      <c r="K14" s="37">
        <f>SUM(Plan!LG153:MR159)</f>
        <v>0</v>
      </c>
      <c r="L14" s="37">
        <f>SUM(Plan!MT153:OE159)</f>
        <v>0</v>
      </c>
      <c r="M14" s="37">
        <f>SUM(Plan!OG153:PR159)</f>
        <v>0</v>
      </c>
      <c r="N14" s="38">
        <f t="shared" si="0"/>
        <v>0</v>
      </c>
    </row>
    <row r="16" spans="1:14" x14ac:dyDescent="0.25">
      <c r="A16" s="39" t="s">
        <v>270</v>
      </c>
      <c r="B16" s="40"/>
      <c r="C16" s="41">
        <f t="shared" ref="C16:N16" si="1">SUM(C2:C15)</f>
        <v>0</v>
      </c>
      <c r="D16" s="41">
        <f t="shared" si="1"/>
        <v>0</v>
      </c>
      <c r="E16" s="41">
        <f t="shared" si="1"/>
        <v>0</v>
      </c>
      <c r="F16" s="41">
        <f t="shared" si="1"/>
        <v>0</v>
      </c>
      <c r="G16" s="41">
        <f t="shared" si="1"/>
        <v>0</v>
      </c>
      <c r="H16" s="41">
        <f t="shared" si="1"/>
        <v>0</v>
      </c>
      <c r="I16" s="41">
        <f t="shared" si="1"/>
        <v>0</v>
      </c>
      <c r="J16" s="41">
        <f t="shared" si="1"/>
        <v>0</v>
      </c>
      <c r="K16" s="41">
        <f t="shared" si="1"/>
        <v>0</v>
      </c>
      <c r="L16" s="41">
        <f t="shared" si="1"/>
        <v>0</v>
      </c>
      <c r="M16" s="41">
        <f t="shared" si="1"/>
        <v>0</v>
      </c>
      <c r="N16" s="41">
        <f t="shared" si="1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60" customWidth="1"/>
    <col min="3" max="3" width="8" customWidth="1"/>
    <col min="4" max="4" width="22" customWidth="1"/>
  </cols>
  <sheetData>
    <row r="1" spans="1:4" x14ac:dyDescent="0.25">
      <c r="A1" s="42" t="s">
        <v>21</v>
      </c>
      <c r="B1" s="42" t="s">
        <v>22</v>
      </c>
      <c r="C1" s="42" t="s">
        <v>271</v>
      </c>
      <c r="D1" s="42" t="s">
        <v>24</v>
      </c>
    </row>
    <row r="2" spans="1:4" x14ac:dyDescent="0.25">
      <c r="A2" s="43" t="s">
        <v>64</v>
      </c>
      <c r="B2" s="3" t="s">
        <v>65</v>
      </c>
      <c r="C2" s="36" t="s">
        <v>66</v>
      </c>
      <c r="D2" s="36" t="s">
        <v>67</v>
      </c>
    </row>
    <row r="3" spans="1:4" x14ac:dyDescent="0.25">
      <c r="A3" s="43" t="s">
        <v>64</v>
      </c>
      <c r="B3" s="3" t="s">
        <v>68</v>
      </c>
      <c r="C3" s="36" t="s">
        <v>66</v>
      </c>
      <c r="D3" s="36" t="s">
        <v>67</v>
      </c>
    </row>
    <row r="4" spans="1:4" x14ac:dyDescent="0.25">
      <c r="A4" s="43" t="s">
        <v>64</v>
      </c>
      <c r="B4" s="3" t="s">
        <v>69</v>
      </c>
      <c r="C4" s="36" t="s">
        <v>70</v>
      </c>
      <c r="D4" s="36" t="s">
        <v>67</v>
      </c>
    </row>
    <row r="5" spans="1:4" x14ac:dyDescent="0.25">
      <c r="A5" s="43" t="s">
        <v>64</v>
      </c>
      <c r="B5" s="3" t="s">
        <v>71</v>
      </c>
      <c r="C5" s="36" t="s">
        <v>70</v>
      </c>
      <c r="D5" s="36" t="s">
        <v>67</v>
      </c>
    </row>
    <row r="6" spans="1:4" x14ac:dyDescent="0.25">
      <c r="A6" s="43" t="s">
        <v>64</v>
      </c>
      <c r="B6" s="3" t="s">
        <v>72</v>
      </c>
      <c r="C6" s="36" t="s">
        <v>70</v>
      </c>
      <c r="D6" s="36" t="s">
        <v>73</v>
      </c>
    </row>
    <row r="7" spans="1:4" x14ac:dyDescent="0.25">
      <c r="A7" s="43" t="s">
        <v>64</v>
      </c>
      <c r="B7" s="3" t="s">
        <v>74</v>
      </c>
      <c r="C7" s="36" t="s">
        <v>66</v>
      </c>
      <c r="D7" s="36" t="s">
        <v>67</v>
      </c>
    </row>
    <row r="8" spans="1:4" x14ac:dyDescent="0.25">
      <c r="A8" s="43" t="s">
        <v>64</v>
      </c>
      <c r="B8" s="3" t="s">
        <v>75</v>
      </c>
      <c r="C8" s="36" t="s">
        <v>70</v>
      </c>
      <c r="D8" s="36" t="s">
        <v>76</v>
      </c>
    </row>
    <row r="9" spans="1:4" x14ac:dyDescent="0.25">
      <c r="A9" s="43" t="s">
        <v>64</v>
      </c>
      <c r="B9" s="3" t="s">
        <v>77</v>
      </c>
      <c r="C9" s="36" t="s">
        <v>66</v>
      </c>
      <c r="D9" s="36" t="s">
        <v>67</v>
      </c>
    </row>
    <row r="10" spans="1:4" x14ac:dyDescent="0.25">
      <c r="A10" s="43" t="s">
        <v>64</v>
      </c>
      <c r="B10" s="3" t="s">
        <v>78</v>
      </c>
      <c r="C10" s="36" t="s">
        <v>70</v>
      </c>
      <c r="D10" s="36" t="s">
        <v>76</v>
      </c>
    </row>
    <row r="11" spans="1:4" x14ac:dyDescent="0.25">
      <c r="A11" s="43" t="s">
        <v>64</v>
      </c>
      <c r="B11" s="3" t="s">
        <v>79</v>
      </c>
      <c r="C11" s="36" t="s">
        <v>70</v>
      </c>
      <c r="D11" s="36" t="s">
        <v>67</v>
      </c>
    </row>
    <row r="12" spans="1:4" x14ac:dyDescent="0.25">
      <c r="A12" s="43" t="s">
        <v>64</v>
      </c>
      <c r="B12" s="3" t="s">
        <v>80</v>
      </c>
      <c r="C12" s="36" t="s">
        <v>81</v>
      </c>
      <c r="D12" s="36" t="s">
        <v>76</v>
      </c>
    </row>
    <row r="13" spans="1:4" x14ac:dyDescent="0.25">
      <c r="A13" s="43" t="s">
        <v>82</v>
      </c>
      <c r="B13" s="3" t="s">
        <v>83</v>
      </c>
      <c r="C13" s="36" t="s">
        <v>70</v>
      </c>
      <c r="D13" s="36" t="s">
        <v>73</v>
      </c>
    </row>
    <row r="14" spans="1:4" x14ac:dyDescent="0.25">
      <c r="A14" s="43" t="s">
        <v>82</v>
      </c>
      <c r="B14" s="3" t="s">
        <v>84</v>
      </c>
      <c r="C14" s="36" t="s">
        <v>70</v>
      </c>
      <c r="D14" s="36" t="s">
        <v>76</v>
      </c>
    </row>
    <row r="15" spans="1:4" x14ac:dyDescent="0.25">
      <c r="A15" s="43" t="s">
        <v>82</v>
      </c>
      <c r="B15" s="3" t="s">
        <v>85</v>
      </c>
      <c r="C15" s="36" t="s">
        <v>70</v>
      </c>
      <c r="D15" s="36" t="s">
        <v>76</v>
      </c>
    </row>
    <row r="16" spans="1:4" x14ac:dyDescent="0.25">
      <c r="A16" s="43" t="s">
        <v>82</v>
      </c>
      <c r="B16" s="3" t="s">
        <v>86</v>
      </c>
      <c r="C16" s="36" t="s">
        <v>70</v>
      </c>
      <c r="D16" s="36" t="s">
        <v>76</v>
      </c>
    </row>
    <row r="17" spans="1:4" x14ac:dyDescent="0.25">
      <c r="A17" s="43" t="s">
        <v>82</v>
      </c>
      <c r="B17" s="3" t="s">
        <v>87</v>
      </c>
      <c r="C17" s="36" t="s">
        <v>70</v>
      </c>
      <c r="D17" s="36" t="s">
        <v>76</v>
      </c>
    </row>
    <row r="18" spans="1:4" x14ac:dyDescent="0.25">
      <c r="A18" s="43" t="s">
        <v>82</v>
      </c>
      <c r="B18" s="3" t="s">
        <v>88</v>
      </c>
      <c r="C18" s="36" t="s">
        <v>70</v>
      </c>
      <c r="D18" s="36" t="s">
        <v>76</v>
      </c>
    </row>
    <row r="19" spans="1:4" x14ac:dyDescent="0.25">
      <c r="A19" s="43" t="s">
        <v>82</v>
      </c>
      <c r="B19" s="3" t="s">
        <v>89</v>
      </c>
      <c r="C19" s="36" t="s">
        <v>70</v>
      </c>
      <c r="D19" s="36" t="s">
        <v>76</v>
      </c>
    </row>
    <row r="20" spans="1:4" x14ac:dyDescent="0.25">
      <c r="A20" s="43" t="s">
        <v>82</v>
      </c>
      <c r="B20" s="3" t="s">
        <v>90</v>
      </c>
      <c r="C20" s="36" t="s">
        <v>70</v>
      </c>
      <c r="D20" s="36" t="s">
        <v>76</v>
      </c>
    </row>
    <row r="21" spans="1:4" x14ac:dyDescent="0.25">
      <c r="A21" s="43" t="s">
        <v>82</v>
      </c>
      <c r="B21" s="3" t="s">
        <v>91</v>
      </c>
      <c r="C21" s="36" t="s">
        <v>66</v>
      </c>
      <c r="D21" s="36" t="s">
        <v>73</v>
      </c>
    </row>
    <row r="22" spans="1:4" x14ac:dyDescent="0.25">
      <c r="A22" s="43" t="s">
        <v>82</v>
      </c>
      <c r="B22" s="3" t="s">
        <v>92</v>
      </c>
      <c r="C22" s="36" t="s">
        <v>66</v>
      </c>
      <c r="D22" s="36" t="s">
        <v>67</v>
      </c>
    </row>
    <row r="23" spans="1:4" x14ac:dyDescent="0.25">
      <c r="A23" s="43" t="s">
        <v>82</v>
      </c>
      <c r="B23" s="3" t="s">
        <v>93</v>
      </c>
      <c r="C23" s="36" t="s">
        <v>66</v>
      </c>
      <c r="D23" s="36" t="s">
        <v>67</v>
      </c>
    </row>
    <row r="24" spans="1:4" x14ac:dyDescent="0.25">
      <c r="A24" s="43" t="s">
        <v>82</v>
      </c>
      <c r="B24" s="3" t="s">
        <v>94</v>
      </c>
      <c r="C24" s="36" t="s">
        <v>70</v>
      </c>
      <c r="D24" s="36" t="s">
        <v>76</v>
      </c>
    </row>
    <row r="25" spans="1:4" x14ac:dyDescent="0.25">
      <c r="A25" s="43" t="s">
        <v>82</v>
      </c>
      <c r="B25" s="3" t="s">
        <v>95</v>
      </c>
      <c r="C25" s="36" t="s">
        <v>70</v>
      </c>
      <c r="D25" s="36" t="s">
        <v>67</v>
      </c>
    </row>
    <row r="26" spans="1:4" x14ac:dyDescent="0.25">
      <c r="A26" s="43" t="s">
        <v>82</v>
      </c>
      <c r="B26" s="3" t="s">
        <v>96</v>
      </c>
      <c r="C26" s="36" t="s">
        <v>70</v>
      </c>
      <c r="D26" s="36" t="s">
        <v>67</v>
      </c>
    </row>
    <row r="27" spans="1:4" x14ac:dyDescent="0.25">
      <c r="A27" s="43" t="s">
        <v>82</v>
      </c>
      <c r="B27" s="3" t="s">
        <v>97</v>
      </c>
      <c r="C27" s="36" t="s">
        <v>66</v>
      </c>
      <c r="D27" s="36" t="s">
        <v>76</v>
      </c>
    </row>
    <row r="28" spans="1:4" x14ac:dyDescent="0.25">
      <c r="A28" s="43" t="s">
        <v>82</v>
      </c>
      <c r="B28" s="3" t="s">
        <v>98</v>
      </c>
      <c r="C28" s="36" t="s">
        <v>66</v>
      </c>
      <c r="D28" s="36" t="s">
        <v>76</v>
      </c>
    </row>
    <row r="29" spans="1:4" x14ac:dyDescent="0.25">
      <c r="A29" s="43" t="s">
        <v>82</v>
      </c>
      <c r="B29" s="3" t="s">
        <v>99</v>
      </c>
      <c r="C29" s="36" t="s">
        <v>66</v>
      </c>
      <c r="D29" s="36" t="s">
        <v>76</v>
      </c>
    </row>
    <row r="30" spans="1:4" x14ac:dyDescent="0.25">
      <c r="A30" s="43" t="s">
        <v>82</v>
      </c>
      <c r="B30" s="3" t="s">
        <v>100</v>
      </c>
      <c r="C30" s="36" t="s">
        <v>70</v>
      </c>
      <c r="D30" s="36" t="s">
        <v>67</v>
      </c>
    </row>
    <row r="31" spans="1:4" x14ac:dyDescent="0.25">
      <c r="A31" s="43" t="s">
        <v>82</v>
      </c>
      <c r="B31" s="3" t="s">
        <v>101</v>
      </c>
      <c r="C31" s="36" t="s">
        <v>66</v>
      </c>
      <c r="D31" s="36" t="s">
        <v>76</v>
      </c>
    </row>
    <row r="32" spans="1:4" x14ac:dyDescent="0.25">
      <c r="A32" s="43" t="s">
        <v>82</v>
      </c>
      <c r="B32" s="3" t="s">
        <v>102</v>
      </c>
      <c r="C32" s="36" t="s">
        <v>70</v>
      </c>
      <c r="D32" s="36" t="s">
        <v>67</v>
      </c>
    </row>
    <row r="33" spans="1:4" x14ac:dyDescent="0.25">
      <c r="A33" s="43" t="s">
        <v>82</v>
      </c>
      <c r="B33" s="3" t="s">
        <v>103</v>
      </c>
      <c r="C33" s="36" t="s">
        <v>70</v>
      </c>
      <c r="D33" s="36" t="s">
        <v>104</v>
      </c>
    </row>
    <row r="34" spans="1:4" x14ac:dyDescent="0.25">
      <c r="A34" s="43" t="s">
        <v>82</v>
      </c>
      <c r="B34" s="3" t="s">
        <v>105</v>
      </c>
      <c r="C34" s="36" t="s">
        <v>70</v>
      </c>
      <c r="D34" s="36" t="s">
        <v>76</v>
      </c>
    </row>
    <row r="35" spans="1:4" x14ac:dyDescent="0.25">
      <c r="A35" s="43" t="s">
        <v>82</v>
      </c>
      <c r="B35" s="3" t="s">
        <v>106</v>
      </c>
      <c r="C35" s="36" t="s">
        <v>70</v>
      </c>
      <c r="D35" s="36" t="s">
        <v>76</v>
      </c>
    </row>
    <row r="36" spans="1:4" x14ac:dyDescent="0.25">
      <c r="A36" s="43" t="s">
        <v>82</v>
      </c>
      <c r="B36" s="3" t="s">
        <v>107</v>
      </c>
      <c r="C36" s="36" t="s">
        <v>70</v>
      </c>
      <c r="D36" s="36" t="s">
        <v>76</v>
      </c>
    </row>
    <row r="37" spans="1:4" x14ac:dyDescent="0.25">
      <c r="A37" s="43" t="s">
        <v>82</v>
      </c>
      <c r="B37" s="3" t="s">
        <v>108</v>
      </c>
      <c r="C37" s="36" t="s">
        <v>70</v>
      </c>
      <c r="D37" s="36" t="s">
        <v>76</v>
      </c>
    </row>
    <row r="38" spans="1:4" x14ac:dyDescent="0.25">
      <c r="A38" s="43" t="s">
        <v>82</v>
      </c>
      <c r="B38" s="3" t="s">
        <v>109</v>
      </c>
      <c r="C38" s="36" t="s">
        <v>70</v>
      </c>
      <c r="D38" s="36" t="s">
        <v>76</v>
      </c>
    </row>
    <row r="39" spans="1:4" x14ac:dyDescent="0.25">
      <c r="A39" s="43" t="s">
        <v>82</v>
      </c>
      <c r="B39" s="3" t="s">
        <v>110</v>
      </c>
      <c r="C39" s="36" t="s">
        <v>70</v>
      </c>
      <c r="D39" s="36" t="s">
        <v>76</v>
      </c>
    </row>
    <row r="40" spans="1:4" x14ac:dyDescent="0.25">
      <c r="A40" s="43" t="s">
        <v>82</v>
      </c>
      <c r="B40" s="3" t="s">
        <v>111</v>
      </c>
      <c r="C40" s="36" t="s">
        <v>70</v>
      </c>
      <c r="D40" s="36" t="s">
        <v>76</v>
      </c>
    </row>
    <row r="41" spans="1:4" x14ac:dyDescent="0.25">
      <c r="A41" s="43" t="s">
        <v>82</v>
      </c>
      <c r="B41" s="3" t="s">
        <v>112</v>
      </c>
      <c r="C41" s="36" t="s">
        <v>70</v>
      </c>
      <c r="D41" s="36" t="s">
        <v>104</v>
      </c>
    </row>
    <row r="42" spans="1:4" x14ac:dyDescent="0.25">
      <c r="A42" s="43" t="s">
        <v>113</v>
      </c>
      <c r="B42" s="3" t="s">
        <v>114</v>
      </c>
      <c r="C42" s="36" t="s">
        <v>66</v>
      </c>
      <c r="D42" s="36" t="s">
        <v>73</v>
      </c>
    </row>
    <row r="43" spans="1:4" x14ac:dyDescent="0.25">
      <c r="A43" s="43" t="s">
        <v>113</v>
      </c>
      <c r="B43" s="3" t="s">
        <v>115</v>
      </c>
      <c r="C43" s="36" t="s">
        <v>70</v>
      </c>
      <c r="D43" s="36" t="s">
        <v>76</v>
      </c>
    </row>
    <row r="44" spans="1:4" x14ac:dyDescent="0.25">
      <c r="A44" s="43" t="s">
        <v>113</v>
      </c>
      <c r="B44" s="3" t="s">
        <v>116</v>
      </c>
      <c r="C44" s="36" t="s">
        <v>66</v>
      </c>
      <c r="D44" s="36" t="s">
        <v>76</v>
      </c>
    </row>
    <row r="45" spans="1:4" x14ac:dyDescent="0.25">
      <c r="A45" s="43" t="s">
        <v>113</v>
      </c>
      <c r="B45" s="3" t="s">
        <v>117</v>
      </c>
      <c r="C45" s="36" t="s">
        <v>70</v>
      </c>
      <c r="D45" s="36" t="s">
        <v>76</v>
      </c>
    </row>
    <row r="46" spans="1:4" x14ac:dyDescent="0.25">
      <c r="A46" s="43" t="s">
        <v>113</v>
      </c>
      <c r="B46" s="3" t="s">
        <v>118</v>
      </c>
      <c r="C46" s="36" t="s">
        <v>66</v>
      </c>
      <c r="D46" s="36" t="s">
        <v>76</v>
      </c>
    </row>
    <row r="47" spans="1:4" x14ac:dyDescent="0.25">
      <c r="A47" s="43" t="s">
        <v>113</v>
      </c>
      <c r="B47" s="3" t="s">
        <v>119</v>
      </c>
      <c r="C47" s="36" t="s">
        <v>70</v>
      </c>
      <c r="D47" s="36" t="s">
        <v>73</v>
      </c>
    </row>
    <row r="48" spans="1:4" x14ac:dyDescent="0.25">
      <c r="A48" s="43" t="s">
        <v>113</v>
      </c>
      <c r="B48" s="3" t="s">
        <v>120</v>
      </c>
      <c r="C48" s="36" t="s">
        <v>66</v>
      </c>
      <c r="D48" s="36" t="s">
        <v>67</v>
      </c>
    </row>
    <row r="49" spans="1:4" x14ac:dyDescent="0.25">
      <c r="A49" s="43" t="s">
        <v>113</v>
      </c>
      <c r="B49" s="3" t="s">
        <v>121</v>
      </c>
      <c r="C49" s="36" t="s">
        <v>66</v>
      </c>
      <c r="D49" s="36" t="s">
        <v>76</v>
      </c>
    </row>
    <row r="50" spans="1:4" x14ac:dyDescent="0.25">
      <c r="A50" s="43" t="s">
        <v>113</v>
      </c>
      <c r="B50" s="3" t="s">
        <v>122</v>
      </c>
      <c r="C50" s="36" t="s">
        <v>70</v>
      </c>
      <c r="D50" s="36" t="s">
        <v>67</v>
      </c>
    </row>
    <row r="51" spans="1:4" x14ac:dyDescent="0.25">
      <c r="A51" s="43" t="s">
        <v>123</v>
      </c>
      <c r="B51" s="3" t="s">
        <v>124</v>
      </c>
      <c r="C51" s="36" t="s">
        <v>66</v>
      </c>
      <c r="D51" s="36" t="s">
        <v>73</v>
      </c>
    </row>
    <row r="52" spans="1:4" x14ac:dyDescent="0.25">
      <c r="A52" s="43" t="s">
        <v>123</v>
      </c>
      <c r="B52" s="3" t="s">
        <v>125</v>
      </c>
      <c r="C52" s="36" t="s">
        <v>70</v>
      </c>
      <c r="D52" s="36" t="s">
        <v>76</v>
      </c>
    </row>
    <row r="53" spans="1:4" x14ac:dyDescent="0.25">
      <c r="A53" s="43" t="s">
        <v>123</v>
      </c>
      <c r="B53" s="3" t="s">
        <v>126</v>
      </c>
      <c r="C53" s="36" t="s">
        <v>70</v>
      </c>
      <c r="D53" s="36" t="s">
        <v>73</v>
      </c>
    </row>
    <row r="54" spans="1:4" x14ac:dyDescent="0.25">
      <c r="A54" s="43" t="s">
        <v>123</v>
      </c>
      <c r="B54" s="3" t="s">
        <v>127</v>
      </c>
      <c r="C54" s="36" t="s">
        <v>66</v>
      </c>
      <c r="D54" s="36" t="s">
        <v>67</v>
      </c>
    </row>
    <row r="55" spans="1:4" x14ac:dyDescent="0.25">
      <c r="A55" s="43" t="s">
        <v>123</v>
      </c>
      <c r="B55" s="3" t="s">
        <v>128</v>
      </c>
      <c r="C55" s="36" t="s">
        <v>70</v>
      </c>
      <c r="D55" s="36" t="s">
        <v>76</v>
      </c>
    </row>
    <row r="56" spans="1:4" x14ac:dyDescent="0.25">
      <c r="A56" s="43" t="s">
        <v>123</v>
      </c>
      <c r="B56" s="3" t="s">
        <v>129</v>
      </c>
      <c r="C56" s="36" t="s">
        <v>70</v>
      </c>
      <c r="D56" s="36" t="s">
        <v>76</v>
      </c>
    </row>
    <row r="57" spans="1:4" x14ac:dyDescent="0.25">
      <c r="A57" s="43" t="s">
        <v>123</v>
      </c>
      <c r="B57" s="3" t="s">
        <v>130</v>
      </c>
      <c r="C57" s="36" t="s">
        <v>70</v>
      </c>
      <c r="D57" s="36" t="s">
        <v>67</v>
      </c>
    </row>
    <row r="58" spans="1:4" x14ac:dyDescent="0.25">
      <c r="A58" s="43" t="s">
        <v>123</v>
      </c>
      <c r="B58" s="3" t="s">
        <v>131</v>
      </c>
      <c r="C58" s="36" t="s">
        <v>81</v>
      </c>
      <c r="D58" s="36" t="s">
        <v>76</v>
      </c>
    </row>
    <row r="59" spans="1:4" x14ac:dyDescent="0.25">
      <c r="A59" s="43" t="s">
        <v>132</v>
      </c>
      <c r="B59" s="3" t="s">
        <v>133</v>
      </c>
      <c r="C59" s="36" t="s">
        <v>66</v>
      </c>
      <c r="D59" s="36" t="s">
        <v>73</v>
      </c>
    </row>
    <row r="60" spans="1:4" x14ac:dyDescent="0.25">
      <c r="A60" s="43" t="s">
        <v>132</v>
      </c>
      <c r="B60" s="3" t="s">
        <v>134</v>
      </c>
      <c r="C60" s="36" t="s">
        <v>70</v>
      </c>
      <c r="D60" s="36" t="s">
        <v>73</v>
      </c>
    </row>
    <row r="61" spans="1:4" x14ac:dyDescent="0.25">
      <c r="A61" s="43" t="s">
        <v>132</v>
      </c>
      <c r="B61" s="3" t="s">
        <v>135</v>
      </c>
      <c r="C61" s="36" t="s">
        <v>70</v>
      </c>
      <c r="D61" s="36" t="s">
        <v>76</v>
      </c>
    </row>
    <row r="62" spans="1:4" x14ac:dyDescent="0.25">
      <c r="A62" s="43" t="s">
        <v>132</v>
      </c>
      <c r="B62" s="3" t="s">
        <v>136</v>
      </c>
      <c r="C62" s="36" t="s">
        <v>70</v>
      </c>
      <c r="D62" s="36" t="s">
        <v>73</v>
      </c>
    </row>
    <row r="63" spans="1:4" x14ac:dyDescent="0.25">
      <c r="A63" s="43" t="s">
        <v>132</v>
      </c>
      <c r="B63" s="3" t="s">
        <v>137</v>
      </c>
      <c r="C63" s="36" t="s">
        <v>66</v>
      </c>
      <c r="D63" s="36" t="s">
        <v>67</v>
      </c>
    </row>
    <row r="64" spans="1:4" x14ac:dyDescent="0.25">
      <c r="A64" s="43" t="s">
        <v>132</v>
      </c>
      <c r="B64" s="3" t="s">
        <v>138</v>
      </c>
      <c r="C64" s="36" t="s">
        <v>70</v>
      </c>
      <c r="D64" s="36" t="s">
        <v>76</v>
      </c>
    </row>
    <row r="65" spans="1:4" x14ac:dyDescent="0.25">
      <c r="A65" s="43" t="s">
        <v>132</v>
      </c>
      <c r="B65" s="3" t="s">
        <v>139</v>
      </c>
      <c r="C65" s="36" t="s">
        <v>70</v>
      </c>
      <c r="D65" s="36" t="s">
        <v>76</v>
      </c>
    </row>
    <row r="66" spans="1:4" x14ac:dyDescent="0.25">
      <c r="A66" s="43" t="s">
        <v>132</v>
      </c>
      <c r="B66" s="3" t="s">
        <v>140</v>
      </c>
      <c r="C66" s="36" t="s">
        <v>81</v>
      </c>
      <c r="D66" s="36" t="s">
        <v>73</v>
      </c>
    </row>
    <row r="67" spans="1:4" x14ac:dyDescent="0.25">
      <c r="A67" s="43" t="s">
        <v>132</v>
      </c>
      <c r="B67" s="3" t="s">
        <v>141</v>
      </c>
      <c r="C67" s="36" t="s">
        <v>81</v>
      </c>
      <c r="D67" s="36" t="s">
        <v>76</v>
      </c>
    </row>
    <row r="68" spans="1:4" x14ac:dyDescent="0.25">
      <c r="A68" s="43" t="s">
        <v>142</v>
      </c>
      <c r="B68" s="3" t="s">
        <v>143</v>
      </c>
      <c r="C68" s="36" t="s">
        <v>66</v>
      </c>
      <c r="D68" s="36" t="s">
        <v>76</v>
      </c>
    </row>
    <row r="69" spans="1:4" x14ac:dyDescent="0.25">
      <c r="A69" s="43" t="s">
        <v>142</v>
      </c>
      <c r="B69" s="3" t="s">
        <v>144</v>
      </c>
      <c r="C69" s="36" t="s">
        <v>70</v>
      </c>
      <c r="D69" s="36" t="s">
        <v>76</v>
      </c>
    </row>
    <row r="70" spans="1:4" x14ac:dyDescent="0.25">
      <c r="A70" s="43" t="s">
        <v>142</v>
      </c>
      <c r="B70" s="3" t="s">
        <v>145</v>
      </c>
      <c r="C70" s="36" t="s">
        <v>66</v>
      </c>
      <c r="D70" s="36" t="s">
        <v>76</v>
      </c>
    </row>
    <row r="71" spans="1:4" x14ac:dyDescent="0.25">
      <c r="A71" s="43" t="s">
        <v>142</v>
      </c>
      <c r="B71" s="3" t="s">
        <v>146</v>
      </c>
      <c r="C71" s="36" t="s">
        <v>70</v>
      </c>
      <c r="D71" s="36" t="s">
        <v>76</v>
      </c>
    </row>
    <row r="72" spans="1:4" x14ac:dyDescent="0.25">
      <c r="A72" s="43" t="s">
        <v>142</v>
      </c>
      <c r="B72" s="3" t="s">
        <v>147</v>
      </c>
      <c r="C72" s="36" t="s">
        <v>66</v>
      </c>
      <c r="D72" s="36" t="s">
        <v>76</v>
      </c>
    </row>
    <row r="73" spans="1:4" x14ac:dyDescent="0.25">
      <c r="A73" s="43" t="s">
        <v>142</v>
      </c>
      <c r="B73" s="3" t="s">
        <v>148</v>
      </c>
      <c r="C73" s="36" t="s">
        <v>66</v>
      </c>
      <c r="D73" s="36" t="s">
        <v>76</v>
      </c>
    </row>
    <row r="74" spans="1:4" x14ac:dyDescent="0.25">
      <c r="A74" s="43" t="s">
        <v>142</v>
      </c>
      <c r="B74" s="3" t="s">
        <v>149</v>
      </c>
      <c r="C74" s="36" t="s">
        <v>70</v>
      </c>
      <c r="D74" s="36" t="s">
        <v>76</v>
      </c>
    </row>
    <row r="75" spans="1:4" x14ac:dyDescent="0.25">
      <c r="A75" s="43" t="s">
        <v>150</v>
      </c>
      <c r="B75" s="3" t="s">
        <v>151</v>
      </c>
      <c r="C75" s="36" t="s">
        <v>66</v>
      </c>
      <c r="D75" s="36" t="s">
        <v>73</v>
      </c>
    </row>
    <row r="76" spans="1:4" x14ac:dyDescent="0.25">
      <c r="A76" s="43" t="s">
        <v>150</v>
      </c>
      <c r="B76" s="3" t="s">
        <v>152</v>
      </c>
      <c r="C76" s="36" t="s">
        <v>70</v>
      </c>
      <c r="D76" s="36" t="s">
        <v>67</v>
      </c>
    </row>
    <row r="77" spans="1:4" x14ac:dyDescent="0.25">
      <c r="A77" s="43" t="s">
        <v>150</v>
      </c>
      <c r="B77" s="3" t="s">
        <v>153</v>
      </c>
      <c r="C77" s="36" t="s">
        <v>66</v>
      </c>
      <c r="D77" s="36" t="s">
        <v>67</v>
      </c>
    </row>
    <row r="78" spans="1:4" ht="26.1" customHeight="1" x14ac:dyDescent="0.25">
      <c r="A78" s="43" t="s">
        <v>150</v>
      </c>
      <c r="B78" s="3" t="s">
        <v>154</v>
      </c>
      <c r="C78" s="36" t="s">
        <v>66</v>
      </c>
      <c r="D78" s="36" t="s">
        <v>73</v>
      </c>
    </row>
    <row r="79" spans="1:4" x14ac:dyDescent="0.25">
      <c r="A79" s="43" t="s">
        <v>150</v>
      </c>
      <c r="B79" s="3" t="s">
        <v>155</v>
      </c>
      <c r="C79" s="36" t="s">
        <v>70</v>
      </c>
      <c r="D79" s="36" t="s">
        <v>76</v>
      </c>
    </row>
    <row r="80" spans="1:4" x14ac:dyDescent="0.25">
      <c r="A80" s="43" t="s">
        <v>150</v>
      </c>
      <c r="B80" s="3" t="s">
        <v>156</v>
      </c>
      <c r="C80" s="36" t="s">
        <v>70</v>
      </c>
      <c r="D80" s="36" t="s">
        <v>76</v>
      </c>
    </row>
    <row r="81" spans="1:4" x14ac:dyDescent="0.25">
      <c r="A81" s="43" t="s">
        <v>150</v>
      </c>
      <c r="B81" s="3" t="s">
        <v>157</v>
      </c>
      <c r="C81" s="36" t="s">
        <v>70</v>
      </c>
      <c r="D81" s="36" t="s">
        <v>76</v>
      </c>
    </row>
    <row r="82" spans="1:4" x14ac:dyDescent="0.25">
      <c r="A82" s="43" t="s">
        <v>150</v>
      </c>
      <c r="B82" s="3" t="s">
        <v>158</v>
      </c>
      <c r="C82" s="36" t="s">
        <v>66</v>
      </c>
      <c r="D82" s="36" t="s">
        <v>73</v>
      </c>
    </row>
    <row r="83" spans="1:4" x14ac:dyDescent="0.25">
      <c r="A83" s="43" t="s">
        <v>150</v>
      </c>
      <c r="B83" s="3" t="s">
        <v>159</v>
      </c>
      <c r="C83" s="36" t="s">
        <v>66</v>
      </c>
      <c r="D83" s="36" t="s">
        <v>73</v>
      </c>
    </row>
    <row r="84" spans="1:4" x14ac:dyDescent="0.25">
      <c r="A84" s="43" t="s">
        <v>150</v>
      </c>
      <c r="B84" s="3" t="s">
        <v>160</v>
      </c>
      <c r="C84" s="36" t="s">
        <v>70</v>
      </c>
      <c r="D84" s="36" t="s">
        <v>76</v>
      </c>
    </row>
    <row r="85" spans="1:4" x14ac:dyDescent="0.25">
      <c r="A85" s="43" t="s">
        <v>150</v>
      </c>
      <c r="B85" s="3" t="s">
        <v>161</v>
      </c>
      <c r="C85" s="36" t="s">
        <v>66</v>
      </c>
      <c r="D85" s="36" t="s">
        <v>76</v>
      </c>
    </row>
    <row r="86" spans="1:4" x14ac:dyDescent="0.25">
      <c r="A86" s="43" t="s">
        <v>150</v>
      </c>
      <c r="B86" s="3" t="s">
        <v>162</v>
      </c>
      <c r="C86" s="36" t="s">
        <v>70</v>
      </c>
      <c r="D86" s="36" t="s">
        <v>73</v>
      </c>
    </row>
    <row r="87" spans="1:4" x14ac:dyDescent="0.25">
      <c r="A87" s="43" t="s">
        <v>163</v>
      </c>
      <c r="B87" s="3" t="s">
        <v>164</v>
      </c>
      <c r="C87" s="36" t="s">
        <v>70</v>
      </c>
      <c r="D87" s="36" t="s">
        <v>67</v>
      </c>
    </row>
    <row r="88" spans="1:4" x14ac:dyDescent="0.25">
      <c r="A88" s="43" t="s">
        <v>163</v>
      </c>
      <c r="B88" s="3" t="s">
        <v>165</v>
      </c>
      <c r="C88" s="36" t="s">
        <v>70</v>
      </c>
      <c r="D88" s="36" t="s">
        <v>67</v>
      </c>
    </row>
    <row r="89" spans="1:4" x14ac:dyDescent="0.25">
      <c r="A89" s="43" t="s">
        <v>163</v>
      </c>
      <c r="B89" s="3" t="s">
        <v>166</v>
      </c>
      <c r="C89" s="36" t="s">
        <v>66</v>
      </c>
      <c r="D89" s="36" t="s">
        <v>67</v>
      </c>
    </row>
    <row r="90" spans="1:4" x14ac:dyDescent="0.25">
      <c r="A90" s="43" t="s">
        <v>163</v>
      </c>
      <c r="B90" s="3" t="s">
        <v>167</v>
      </c>
      <c r="C90" s="36" t="s">
        <v>70</v>
      </c>
      <c r="D90" s="36" t="s">
        <v>67</v>
      </c>
    </row>
    <row r="91" spans="1:4" x14ac:dyDescent="0.25">
      <c r="A91" s="43" t="s">
        <v>163</v>
      </c>
      <c r="B91" s="3" t="s">
        <v>168</v>
      </c>
      <c r="C91" s="36" t="s">
        <v>66</v>
      </c>
      <c r="D91" s="36" t="s">
        <v>67</v>
      </c>
    </row>
    <row r="92" spans="1:4" x14ac:dyDescent="0.25">
      <c r="A92" s="43" t="s">
        <v>163</v>
      </c>
      <c r="B92" s="3" t="s">
        <v>169</v>
      </c>
      <c r="C92" s="36" t="s">
        <v>70</v>
      </c>
      <c r="D92" s="36" t="s">
        <v>67</v>
      </c>
    </row>
    <row r="93" spans="1:4" x14ac:dyDescent="0.25">
      <c r="A93" s="43" t="s">
        <v>163</v>
      </c>
      <c r="B93" s="3" t="s">
        <v>170</v>
      </c>
      <c r="C93" s="36" t="s">
        <v>81</v>
      </c>
      <c r="D93" s="36" t="s">
        <v>73</v>
      </c>
    </row>
    <row r="94" spans="1:4" x14ac:dyDescent="0.25">
      <c r="A94" s="43" t="s">
        <v>163</v>
      </c>
      <c r="B94" s="3" t="s">
        <v>171</v>
      </c>
      <c r="C94" s="36" t="s">
        <v>81</v>
      </c>
      <c r="D94" s="36" t="s">
        <v>67</v>
      </c>
    </row>
    <row r="95" spans="1:4" x14ac:dyDescent="0.25">
      <c r="A95" s="43" t="s">
        <v>163</v>
      </c>
      <c r="B95" s="3" t="s">
        <v>172</v>
      </c>
      <c r="C95" s="36" t="s">
        <v>70</v>
      </c>
      <c r="D95" s="36" t="s">
        <v>76</v>
      </c>
    </row>
    <row r="96" spans="1:4" x14ac:dyDescent="0.25">
      <c r="A96" s="43" t="s">
        <v>163</v>
      </c>
      <c r="B96" s="3" t="s">
        <v>173</v>
      </c>
      <c r="C96" s="36" t="s">
        <v>70</v>
      </c>
      <c r="D96" s="36" t="s">
        <v>76</v>
      </c>
    </row>
    <row r="97" spans="1:4" x14ac:dyDescent="0.25">
      <c r="A97" s="43" t="s">
        <v>174</v>
      </c>
      <c r="B97" s="3" t="s">
        <v>175</v>
      </c>
      <c r="C97" s="36" t="s">
        <v>70</v>
      </c>
      <c r="D97" s="36" t="s">
        <v>76</v>
      </c>
    </row>
    <row r="98" spans="1:4" x14ac:dyDescent="0.25">
      <c r="A98" s="43" t="s">
        <v>174</v>
      </c>
      <c r="B98" s="3" t="s">
        <v>176</v>
      </c>
      <c r="C98" s="36" t="s">
        <v>70</v>
      </c>
      <c r="D98" s="36" t="s">
        <v>76</v>
      </c>
    </row>
    <row r="99" spans="1:4" x14ac:dyDescent="0.25">
      <c r="A99" s="43" t="s">
        <v>174</v>
      </c>
      <c r="B99" s="3" t="s">
        <v>177</v>
      </c>
      <c r="C99" s="36" t="s">
        <v>70</v>
      </c>
      <c r="D99" s="36" t="s">
        <v>73</v>
      </c>
    </row>
    <row r="100" spans="1:4" x14ac:dyDescent="0.25">
      <c r="A100" s="43" t="s">
        <v>174</v>
      </c>
      <c r="B100" s="3" t="s">
        <v>178</v>
      </c>
      <c r="C100" s="36" t="s">
        <v>66</v>
      </c>
      <c r="D100" s="36" t="s">
        <v>179</v>
      </c>
    </row>
    <row r="101" spans="1:4" x14ac:dyDescent="0.25">
      <c r="A101" s="43" t="s">
        <v>174</v>
      </c>
      <c r="B101" s="3" t="s">
        <v>180</v>
      </c>
      <c r="C101" s="36" t="s">
        <v>70</v>
      </c>
      <c r="D101" s="36" t="s">
        <v>76</v>
      </c>
    </row>
    <row r="102" spans="1:4" x14ac:dyDescent="0.25">
      <c r="A102" s="43" t="s">
        <v>174</v>
      </c>
      <c r="B102" s="3" t="s">
        <v>181</v>
      </c>
      <c r="C102" s="36" t="s">
        <v>70</v>
      </c>
      <c r="D102" s="36" t="s">
        <v>76</v>
      </c>
    </row>
    <row r="103" spans="1:4" x14ac:dyDescent="0.25">
      <c r="A103" s="43" t="s">
        <v>182</v>
      </c>
      <c r="B103" s="3" t="s">
        <v>183</v>
      </c>
      <c r="C103" s="36" t="s">
        <v>70</v>
      </c>
      <c r="D103" s="36" t="s">
        <v>73</v>
      </c>
    </row>
    <row r="104" spans="1:4" x14ac:dyDescent="0.25">
      <c r="A104" s="43" t="s">
        <v>182</v>
      </c>
      <c r="B104" s="3" t="s">
        <v>184</v>
      </c>
      <c r="C104" s="36" t="s">
        <v>70</v>
      </c>
      <c r="D104" s="36" t="s">
        <v>73</v>
      </c>
    </row>
    <row r="105" spans="1:4" x14ac:dyDescent="0.25">
      <c r="A105" s="43" t="s">
        <v>182</v>
      </c>
      <c r="B105" s="3" t="s">
        <v>185</v>
      </c>
      <c r="C105" s="36" t="s">
        <v>70</v>
      </c>
      <c r="D105" s="36" t="s">
        <v>67</v>
      </c>
    </row>
    <row r="106" spans="1:4" x14ac:dyDescent="0.25">
      <c r="A106" s="43" t="s">
        <v>182</v>
      </c>
      <c r="B106" s="3" t="s">
        <v>186</v>
      </c>
      <c r="C106" s="36" t="s">
        <v>70</v>
      </c>
      <c r="D106" s="36" t="s">
        <v>67</v>
      </c>
    </row>
    <row r="107" spans="1:4" x14ac:dyDescent="0.25">
      <c r="A107" s="43" t="s">
        <v>182</v>
      </c>
      <c r="B107" s="3" t="s">
        <v>187</v>
      </c>
      <c r="C107" s="36" t="s">
        <v>70</v>
      </c>
      <c r="D107" s="36" t="s">
        <v>67</v>
      </c>
    </row>
    <row r="108" spans="1:4" x14ac:dyDescent="0.25">
      <c r="A108" s="43" t="s">
        <v>182</v>
      </c>
      <c r="B108" s="3" t="s">
        <v>188</v>
      </c>
      <c r="C108" s="36" t="s">
        <v>70</v>
      </c>
      <c r="D108" s="36" t="s">
        <v>67</v>
      </c>
    </row>
    <row r="109" spans="1:4" x14ac:dyDescent="0.25">
      <c r="A109" s="43" t="s">
        <v>182</v>
      </c>
      <c r="B109" s="3" t="s">
        <v>189</v>
      </c>
      <c r="C109" s="36" t="s">
        <v>70</v>
      </c>
      <c r="D109" s="36" t="s">
        <v>67</v>
      </c>
    </row>
    <row r="110" spans="1:4" x14ac:dyDescent="0.25">
      <c r="A110" s="43" t="s">
        <v>182</v>
      </c>
      <c r="B110" s="3" t="s">
        <v>190</v>
      </c>
      <c r="C110" s="36" t="s">
        <v>66</v>
      </c>
      <c r="D110" s="36" t="s">
        <v>67</v>
      </c>
    </row>
    <row r="111" spans="1:4" x14ac:dyDescent="0.25">
      <c r="A111" s="43" t="s">
        <v>182</v>
      </c>
      <c r="B111" s="3" t="s">
        <v>191</v>
      </c>
      <c r="C111" s="36" t="s">
        <v>70</v>
      </c>
      <c r="D111" s="36" t="s">
        <v>67</v>
      </c>
    </row>
    <row r="112" spans="1:4" x14ac:dyDescent="0.25">
      <c r="A112" s="43" t="s">
        <v>182</v>
      </c>
      <c r="B112" s="3" t="s">
        <v>192</v>
      </c>
      <c r="C112" s="36" t="s">
        <v>70</v>
      </c>
      <c r="D112" s="36" t="s">
        <v>67</v>
      </c>
    </row>
    <row r="113" spans="1:4" x14ac:dyDescent="0.25">
      <c r="A113" s="43" t="s">
        <v>182</v>
      </c>
      <c r="B113" s="3" t="s">
        <v>193</v>
      </c>
      <c r="C113" s="36" t="s">
        <v>70</v>
      </c>
      <c r="D113" s="36" t="s">
        <v>67</v>
      </c>
    </row>
    <row r="114" spans="1:4" x14ac:dyDescent="0.25">
      <c r="A114" s="43" t="s">
        <v>182</v>
      </c>
      <c r="B114" s="3" t="s">
        <v>194</v>
      </c>
      <c r="C114" s="36" t="s">
        <v>70</v>
      </c>
      <c r="D114" s="36" t="s">
        <v>67</v>
      </c>
    </row>
    <row r="115" spans="1:4" x14ac:dyDescent="0.25">
      <c r="A115" s="43" t="s">
        <v>182</v>
      </c>
      <c r="B115" s="3" t="s">
        <v>195</v>
      </c>
      <c r="C115" s="36" t="s">
        <v>66</v>
      </c>
      <c r="D115" s="36" t="s">
        <v>76</v>
      </c>
    </row>
    <row r="116" spans="1:4" x14ac:dyDescent="0.25">
      <c r="A116" s="43" t="s">
        <v>182</v>
      </c>
      <c r="B116" s="3" t="s">
        <v>196</v>
      </c>
      <c r="C116" s="36" t="s">
        <v>66</v>
      </c>
      <c r="D116" s="36" t="s">
        <v>76</v>
      </c>
    </row>
    <row r="117" spans="1:4" x14ac:dyDescent="0.25">
      <c r="A117" s="43" t="s">
        <v>182</v>
      </c>
      <c r="B117" s="3" t="s">
        <v>197</v>
      </c>
      <c r="C117" s="36" t="s">
        <v>66</v>
      </c>
      <c r="D117" s="36" t="s">
        <v>73</v>
      </c>
    </row>
    <row r="118" spans="1:4" x14ac:dyDescent="0.25">
      <c r="A118" s="43" t="s">
        <v>182</v>
      </c>
      <c r="B118" s="3" t="s">
        <v>198</v>
      </c>
      <c r="C118" s="36" t="s">
        <v>70</v>
      </c>
      <c r="D118" s="36" t="s">
        <v>67</v>
      </c>
    </row>
    <row r="119" spans="1:4" x14ac:dyDescent="0.25">
      <c r="A119" s="43" t="s">
        <v>182</v>
      </c>
      <c r="B119" s="3" t="s">
        <v>199</v>
      </c>
      <c r="C119" s="36" t="s">
        <v>70</v>
      </c>
      <c r="D119" s="36" t="s">
        <v>67</v>
      </c>
    </row>
    <row r="120" spans="1:4" x14ac:dyDescent="0.25">
      <c r="A120" s="43" t="s">
        <v>182</v>
      </c>
      <c r="B120" s="3" t="s">
        <v>200</v>
      </c>
      <c r="C120" s="36" t="s">
        <v>81</v>
      </c>
      <c r="D120" s="36" t="s">
        <v>76</v>
      </c>
    </row>
    <row r="121" spans="1:4" x14ac:dyDescent="0.25">
      <c r="A121" s="43" t="s">
        <v>182</v>
      </c>
      <c r="B121" s="3" t="s">
        <v>201</v>
      </c>
      <c r="C121" s="36" t="s">
        <v>70</v>
      </c>
      <c r="D121" s="36" t="s">
        <v>76</v>
      </c>
    </row>
    <row r="122" spans="1:4" x14ac:dyDescent="0.25">
      <c r="A122" s="43" t="s">
        <v>202</v>
      </c>
      <c r="B122" s="3" t="s">
        <v>203</v>
      </c>
      <c r="C122" s="36" t="s">
        <v>70</v>
      </c>
      <c r="D122" s="36" t="s">
        <v>76</v>
      </c>
    </row>
    <row r="123" spans="1:4" x14ac:dyDescent="0.25">
      <c r="A123" s="43" t="s">
        <v>202</v>
      </c>
      <c r="B123" s="3" t="s">
        <v>204</v>
      </c>
      <c r="C123" s="36" t="s">
        <v>66</v>
      </c>
      <c r="D123" s="36" t="s">
        <v>76</v>
      </c>
    </row>
    <row r="124" spans="1:4" x14ac:dyDescent="0.25">
      <c r="A124" s="43" t="s">
        <v>202</v>
      </c>
      <c r="B124" s="3" t="s">
        <v>205</v>
      </c>
      <c r="C124" s="36" t="s">
        <v>70</v>
      </c>
      <c r="D124" s="36" t="s">
        <v>76</v>
      </c>
    </row>
    <row r="125" spans="1:4" x14ac:dyDescent="0.25">
      <c r="A125" s="43" t="s">
        <v>202</v>
      </c>
      <c r="B125" s="3" t="s">
        <v>206</v>
      </c>
      <c r="C125" s="36" t="s">
        <v>66</v>
      </c>
      <c r="D125" s="36" t="s">
        <v>76</v>
      </c>
    </row>
    <row r="126" spans="1:4" x14ac:dyDescent="0.25">
      <c r="A126" s="43" t="s">
        <v>202</v>
      </c>
      <c r="B126" s="3" t="s">
        <v>207</v>
      </c>
      <c r="C126" s="36" t="s">
        <v>70</v>
      </c>
      <c r="D126" s="36" t="s">
        <v>76</v>
      </c>
    </row>
    <row r="127" spans="1:4" x14ac:dyDescent="0.25">
      <c r="A127" s="43" t="s">
        <v>202</v>
      </c>
      <c r="B127" s="3" t="s">
        <v>208</v>
      </c>
      <c r="C127" s="36" t="s">
        <v>66</v>
      </c>
      <c r="D127" s="36" t="s">
        <v>76</v>
      </c>
    </row>
    <row r="128" spans="1:4" x14ac:dyDescent="0.25">
      <c r="A128" s="43" t="s">
        <v>202</v>
      </c>
      <c r="B128" s="3" t="s">
        <v>209</v>
      </c>
      <c r="C128" s="36" t="s">
        <v>66</v>
      </c>
      <c r="D128" s="36" t="s">
        <v>76</v>
      </c>
    </row>
    <row r="129" spans="1:4" x14ac:dyDescent="0.25">
      <c r="A129" s="43" t="s">
        <v>210</v>
      </c>
      <c r="B129" s="3" t="s">
        <v>211</v>
      </c>
      <c r="C129" s="36" t="s">
        <v>81</v>
      </c>
      <c r="D129" s="36" t="s">
        <v>76</v>
      </c>
    </row>
    <row r="130" spans="1:4" x14ac:dyDescent="0.25">
      <c r="A130" s="43" t="s">
        <v>210</v>
      </c>
      <c r="B130" s="3" t="s">
        <v>212</v>
      </c>
      <c r="C130" s="36" t="s">
        <v>81</v>
      </c>
      <c r="D130" s="36" t="s">
        <v>76</v>
      </c>
    </row>
    <row r="131" spans="1:4" x14ac:dyDescent="0.25">
      <c r="A131" s="43" t="s">
        <v>210</v>
      </c>
      <c r="B131" s="3" t="s">
        <v>213</v>
      </c>
      <c r="C131" s="36" t="s">
        <v>70</v>
      </c>
      <c r="D131" s="36" t="s">
        <v>76</v>
      </c>
    </row>
    <row r="132" spans="1:4" x14ac:dyDescent="0.25">
      <c r="A132" s="43" t="s">
        <v>210</v>
      </c>
      <c r="B132" s="3" t="s">
        <v>214</v>
      </c>
      <c r="C132" s="36" t="s">
        <v>70</v>
      </c>
      <c r="D132" s="36" t="s">
        <v>76</v>
      </c>
    </row>
    <row r="133" spans="1:4" x14ac:dyDescent="0.25">
      <c r="A133" s="43" t="s">
        <v>210</v>
      </c>
      <c r="B133" s="3" t="s">
        <v>215</v>
      </c>
      <c r="C133" s="36" t="s">
        <v>70</v>
      </c>
      <c r="D133" s="36" t="s">
        <v>76</v>
      </c>
    </row>
    <row r="134" spans="1:4" x14ac:dyDescent="0.25">
      <c r="A134" s="43" t="s">
        <v>210</v>
      </c>
      <c r="B134" s="3" t="s">
        <v>216</v>
      </c>
      <c r="C134" s="36" t="s">
        <v>70</v>
      </c>
      <c r="D134" s="36" t="s">
        <v>76</v>
      </c>
    </row>
    <row r="135" spans="1:4" x14ac:dyDescent="0.25">
      <c r="A135" s="43" t="s">
        <v>210</v>
      </c>
      <c r="B135" s="3" t="s">
        <v>210</v>
      </c>
      <c r="C135" s="36" t="s">
        <v>66</v>
      </c>
      <c r="D135" s="36" t="s">
        <v>76</v>
      </c>
    </row>
    <row r="136" spans="1:4" x14ac:dyDescent="0.25">
      <c r="A136" s="43" t="s">
        <v>210</v>
      </c>
      <c r="B136" s="3" t="s">
        <v>217</v>
      </c>
      <c r="C136" s="36" t="s">
        <v>70</v>
      </c>
      <c r="D136" s="36" t="s">
        <v>76</v>
      </c>
    </row>
    <row r="137" spans="1:4" x14ac:dyDescent="0.25">
      <c r="A137" s="43" t="s">
        <v>218</v>
      </c>
      <c r="B137" s="3" t="s">
        <v>219</v>
      </c>
      <c r="C137" s="36" t="s">
        <v>70</v>
      </c>
      <c r="D137" s="36" t="s">
        <v>76</v>
      </c>
    </row>
    <row r="138" spans="1:4" x14ac:dyDescent="0.25">
      <c r="A138" s="43" t="s">
        <v>218</v>
      </c>
      <c r="B138" s="3" t="s">
        <v>220</v>
      </c>
      <c r="C138" s="36" t="s">
        <v>70</v>
      </c>
      <c r="D138" s="36" t="s">
        <v>76</v>
      </c>
    </row>
    <row r="139" spans="1:4" x14ac:dyDescent="0.25">
      <c r="A139" s="43" t="s">
        <v>218</v>
      </c>
      <c r="B139" s="3" t="s">
        <v>221</v>
      </c>
      <c r="C139" s="36" t="s">
        <v>70</v>
      </c>
      <c r="D139" s="36" t="s">
        <v>76</v>
      </c>
    </row>
    <row r="140" spans="1:4" x14ac:dyDescent="0.25">
      <c r="A140" s="43" t="s">
        <v>218</v>
      </c>
      <c r="B140" s="3" t="s">
        <v>222</v>
      </c>
      <c r="C140" s="36" t="s">
        <v>70</v>
      </c>
      <c r="D140" s="36" t="s">
        <v>76</v>
      </c>
    </row>
    <row r="141" spans="1:4" x14ac:dyDescent="0.25">
      <c r="A141" s="43" t="s">
        <v>218</v>
      </c>
      <c r="B141" s="3" t="s">
        <v>223</v>
      </c>
      <c r="C141" s="36" t="s">
        <v>70</v>
      </c>
      <c r="D141" s="36" t="s">
        <v>76</v>
      </c>
    </row>
    <row r="142" spans="1:4" x14ac:dyDescent="0.25">
      <c r="A142" s="43" t="s">
        <v>218</v>
      </c>
      <c r="B142" s="3" t="s">
        <v>224</v>
      </c>
      <c r="C142" s="36" t="s">
        <v>66</v>
      </c>
      <c r="D142" s="36" t="s">
        <v>76</v>
      </c>
    </row>
    <row r="143" spans="1:4" x14ac:dyDescent="0.25">
      <c r="A143" s="43" t="s">
        <v>218</v>
      </c>
      <c r="B143" s="3" t="s">
        <v>225</v>
      </c>
      <c r="C143" s="36" t="s">
        <v>70</v>
      </c>
      <c r="D143" s="36" t="s">
        <v>76</v>
      </c>
    </row>
  </sheetData>
  <conditionalFormatting sqref="D2:D143">
    <cfRule type="cellIs" dxfId="8" priority="1" operator="equal">
      <formula>"T0: Ideation"</formula>
    </cfRule>
    <cfRule type="cellIs" dxfId="7" priority="2" operator="equal">
      <formula>"T1: R&amp;D"</formula>
    </cfRule>
    <cfRule type="cellIs" dxfId="6" priority="3" operator="equal">
      <formula>"T2: GDD/TDD/Brief"</formula>
    </cfRule>
    <cfRule type="cellIs" dxfId="5" priority="4" operator="equal">
      <formula>"T3: Prototype"</formula>
    </cfRule>
    <cfRule type="cellIs" dxfId="4" priority="5" operator="equal">
      <formula>"T4: MVP"</formula>
    </cfRule>
    <cfRule type="cellIs" dxfId="3" priority="6" operator="equal">
      <formula>"T5: Feature Complete"</formula>
    </cfRule>
    <cfRule type="cellIs" dxfId="2" priority="7" operator="equal">
      <formula>"T6: Player Tested"</formula>
    </cfRule>
    <cfRule type="cellIs" dxfId="1" priority="8" operator="equal">
      <formula>"T7: Expand"</formula>
    </cfRule>
    <cfRule type="cellIs" dxfId="0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D2:D143" xr:uid="{00000000-0002-0000-0200-000000000000}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6" customWidth="1"/>
    <col min="3" max="3" width="60" customWidth="1"/>
  </cols>
  <sheetData>
    <row r="1" spans="1:3" x14ac:dyDescent="0.25">
      <c r="A1" s="42" t="s">
        <v>272</v>
      </c>
      <c r="B1" s="42" t="s">
        <v>273</v>
      </c>
      <c r="C1" s="42" t="s">
        <v>25</v>
      </c>
    </row>
    <row r="2" spans="1:3" x14ac:dyDescent="0.25">
      <c r="A2" s="44" t="s">
        <v>26</v>
      </c>
      <c r="B2" s="45" t="s">
        <v>274</v>
      </c>
      <c r="C2" s="44"/>
    </row>
    <row r="3" spans="1:3" x14ac:dyDescent="0.25">
      <c r="A3" s="44" t="s">
        <v>27</v>
      </c>
      <c r="B3" s="45" t="s">
        <v>274</v>
      </c>
      <c r="C3" s="44"/>
    </row>
    <row r="4" spans="1:3" x14ac:dyDescent="0.25">
      <c r="A4" s="44" t="s">
        <v>28</v>
      </c>
      <c r="B4" s="45" t="s">
        <v>274</v>
      </c>
      <c r="C4" s="44"/>
    </row>
    <row r="5" spans="1:3" x14ac:dyDescent="0.25">
      <c r="A5" s="44" t="s">
        <v>29</v>
      </c>
      <c r="B5" s="45" t="s">
        <v>274</v>
      </c>
      <c r="C5" s="44"/>
    </row>
    <row r="6" spans="1:3" x14ac:dyDescent="0.25">
      <c r="A6" s="44" t="s">
        <v>30</v>
      </c>
      <c r="B6" s="45" t="s">
        <v>274</v>
      </c>
      <c r="C6" s="44"/>
    </row>
    <row r="7" spans="1:3" x14ac:dyDescent="0.25">
      <c r="A7" s="46" t="s">
        <v>31</v>
      </c>
      <c r="B7" s="47" t="s">
        <v>275</v>
      </c>
      <c r="C7" s="46"/>
    </row>
    <row r="8" spans="1:3" x14ac:dyDescent="0.25">
      <c r="A8" s="46" t="s">
        <v>32</v>
      </c>
      <c r="B8" s="47" t="s">
        <v>275</v>
      </c>
      <c r="C8" s="46"/>
    </row>
    <row r="9" spans="1:3" x14ac:dyDescent="0.25">
      <c r="A9" s="46" t="s">
        <v>33</v>
      </c>
      <c r="B9" s="47" t="s">
        <v>275</v>
      </c>
      <c r="C9" s="46"/>
    </row>
    <row r="10" spans="1:3" x14ac:dyDescent="0.25">
      <c r="A10" s="46" t="s">
        <v>34</v>
      </c>
      <c r="B10" s="47" t="s">
        <v>275</v>
      </c>
      <c r="C10" s="46"/>
    </row>
    <row r="11" spans="1:3" x14ac:dyDescent="0.25">
      <c r="A11" s="46" t="s">
        <v>35</v>
      </c>
      <c r="B11" s="47" t="s">
        <v>275</v>
      </c>
      <c r="C11" s="46"/>
    </row>
    <row r="12" spans="1:3" x14ac:dyDescent="0.25">
      <c r="A12" s="48" t="s">
        <v>36</v>
      </c>
      <c r="B12" s="49" t="s">
        <v>276</v>
      </c>
      <c r="C12" s="48"/>
    </row>
    <row r="13" spans="1:3" x14ac:dyDescent="0.25">
      <c r="A13" s="48" t="s">
        <v>37</v>
      </c>
      <c r="B13" s="49" t="s">
        <v>276</v>
      </c>
      <c r="C13" s="48"/>
    </row>
    <row r="14" spans="1:3" x14ac:dyDescent="0.25">
      <c r="A14" s="48" t="s">
        <v>38</v>
      </c>
      <c r="B14" s="49" t="s">
        <v>276</v>
      </c>
      <c r="C14" s="48"/>
    </row>
    <row r="15" spans="1:3" x14ac:dyDescent="0.25">
      <c r="A15" s="48" t="s">
        <v>39</v>
      </c>
      <c r="B15" s="49" t="s">
        <v>276</v>
      </c>
      <c r="C15" s="48"/>
    </row>
    <row r="16" spans="1:3" x14ac:dyDescent="0.25">
      <c r="A16" s="48" t="s">
        <v>40</v>
      </c>
      <c r="B16" s="49" t="s">
        <v>276</v>
      </c>
      <c r="C16" s="48"/>
    </row>
    <row r="17" spans="1:3" x14ac:dyDescent="0.25">
      <c r="A17" s="48" t="s">
        <v>41</v>
      </c>
      <c r="B17" s="49" t="s">
        <v>276</v>
      </c>
      <c r="C17" s="48"/>
    </row>
    <row r="18" spans="1:3" x14ac:dyDescent="0.25">
      <c r="A18" s="48" t="s">
        <v>42</v>
      </c>
      <c r="B18" s="49" t="s">
        <v>276</v>
      </c>
      <c r="C18" s="48"/>
    </row>
    <row r="19" spans="1:3" x14ac:dyDescent="0.25">
      <c r="A19" s="48" t="s">
        <v>43</v>
      </c>
      <c r="B19" s="49" t="s">
        <v>276</v>
      </c>
      <c r="C19" s="48"/>
    </row>
    <row r="20" spans="1:3" x14ac:dyDescent="0.25">
      <c r="A20" s="50" t="s">
        <v>44</v>
      </c>
      <c r="B20" s="51" t="s">
        <v>277</v>
      </c>
      <c r="C20" s="50"/>
    </row>
    <row r="21" spans="1:3" x14ac:dyDescent="0.25">
      <c r="A21" s="50" t="s">
        <v>45</v>
      </c>
      <c r="B21" s="51" t="s">
        <v>277</v>
      </c>
      <c r="C21" s="50"/>
    </row>
    <row r="22" spans="1:3" x14ac:dyDescent="0.25">
      <c r="A22" s="50" t="s">
        <v>46</v>
      </c>
      <c r="B22" s="51" t="s">
        <v>277</v>
      </c>
      <c r="C22" s="50"/>
    </row>
    <row r="23" spans="1:3" x14ac:dyDescent="0.25">
      <c r="A23" s="50" t="s">
        <v>47</v>
      </c>
      <c r="B23" s="51" t="s">
        <v>277</v>
      </c>
      <c r="C23" s="50"/>
    </row>
    <row r="24" spans="1:3" x14ac:dyDescent="0.25">
      <c r="A24" s="50" t="s">
        <v>48</v>
      </c>
      <c r="B24" s="51" t="s">
        <v>277</v>
      </c>
      <c r="C24" s="50"/>
    </row>
    <row r="25" spans="1:3" x14ac:dyDescent="0.25">
      <c r="A25" s="50" t="s">
        <v>49</v>
      </c>
      <c r="B25" s="51" t="s">
        <v>277</v>
      </c>
      <c r="C25" s="50"/>
    </row>
    <row r="26" spans="1:3" x14ac:dyDescent="0.25">
      <c r="A26" s="50" t="s">
        <v>50</v>
      </c>
      <c r="B26" s="51" t="s">
        <v>277</v>
      </c>
      <c r="C26" s="50"/>
    </row>
    <row r="27" spans="1:3" x14ac:dyDescent="0.25">
      <c r="A27" s="50" t="s">
        <v>51</v>
      </c>
      <c r="B27" s="51" t="s">
        <v>277</v>
      </c>
      <c r="C27" s="50"/>
    </row>
    <row r="28" spans="1:3" x14ac:dyDescent="0.25">
      <c r="A28" s="50" t="s">
        <v>52</v>
      </c>
      <c r="B28" s="51" t="s">
        <v>277</v>
      </c>
      <c r="C28" s="50"/>
    </row>
    <row r="29" spans="1:3" x14ac:dyDescent="0.25">
      <c r="A29" s="50" t="s">
        <v>53</v>
      </c>
      <c r="B29" s="51" t="s">
        <v>277</v>
      </c>
      <c r="C29" s="50"/>
    </row>
    <row r="30" spans="1:3" x14ac:dyDescent="0.25">
      <c r="A30" s="50" t="s">
        <v>54</v>
      </c>
      <c r="B30" s="51" t="s">
        <v>277</v>
      </c>
      <c r="C30" s="50"/>
    </row>
    <row r="31" spans="1:3" x14ac:dyDescent="0.25">
      <c r="A31" s="52" t="s">
        <v>55</v>
      </c>
      <c r="B31" s="53" t="s">
        <v>278</v>
      </c>
      <c r="C31" s="52"/>
    </row>
    <row r="32" spans="1:3" x14ac:dyDescent="0.25">
      <c r="A32" s="52" t="s">
        <v>56</v>
      </c>
      <c r="B32" s="53" t="s">
        <v>278</v>
      </c>
      <c r="C32" s="52"/>
    </row>
    <row r="33" spans="1:3" x14ac:dyDescent="0.25">
      <c r="A33" s="52" t="s">
        <v>57</v>
      </c>
      <c r="B33" s="53" t="s">
        <v>278</v>
      </c>
      <c r="C33" s="52"/>
    </row>
    <row r="34" spans="1:3" x14ac:dyDescent="0.25">
      <c r="A34" s="52" t="s">
        <v>58</v>
      </c>
      <c r="B34" s="53" t="s">
        <v>278</v>
      </c>
      <c r="C34" s="52"/>
    </row>
    <row r="35" spans="1:3" x14ac:dyDescent="0.25">
      <c r="A35" s="52" t="s">
        <v>59</v>
      </c>
      <c r="B35" s="53" t="s">
        <v>278</v>
      </c>
      <c r="C35" s="52"/>
    </row>
    <row r="36" spans="1:3" x14ac:dyDescent="0.25">
      <c r="A36" s="52" t="s">
        <v>60</v>
      </c>
      <c r="B36" s="53" t="s">
        <v>278</v>
      </c>
      <c r="C36" s="52"/>
    </row>
    <row r="37" spans="1:3" x14ac:dyDescent="0.25">
      <c r="A37" s="54" t="s">
        <v>61</v>
      </c>
      <c r="B37" s="55" t="s">
        <v>61</v>
      </c>
      <c r="C37" s="54"/>
    </row>
    <row r="38" spans="1:3" x14ac:dyDescent="0.25">
      <c r="A38" s="56" t="s">
        <v>62</v>
      </c>
      <c r="B38" s="57" t="s">
        <v>279</v>
      </c>
      <c r="C38" s="56"/>
    </row>
    <row r="39" spans="1:3" x14ac:dyDescent="0.25">
      <c r="A39" s="58" t="s">
        <v>63</v>
      </c>
      <c r="B39" s="59" t="s">
        <v>182</v>
      </c>
      <c r="C39" s="5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6" customWidth="1"/>
    <col min="2" max="2" width="18" customWidth="1"/>
    <col min="3" max="3" width="14" customWidth="1"/>
    <col min="4" max="4" width="12" customWidth="1"/>
    <col min="5" max="5" width="24" customWidth="1"/>
    <col min="6" max="6" width="70" customWidth="1"/>
  </cols>
  <sheetData>
    <row r="1" spans="1:6" x14ac:dyDescent="0.25">
      <c r="A1" s="42" t="s">
        <v>280</v>
      </c>
      <c r="B1" s="42" t="s">
        <v>281</v>
      </c>
      <c r="C1" s="42"/>
      <c r="D1" s="42" t="s">
        <v>282</v>
      </c>
      <c r="E1" s="42" t="s">
        <v>283</v>
      </c>
      <c r="F1" s="42" t="s">
        <v>25</v>
      </c>
    </row>
    <row r="2" spans="1:6" x14ac:dyDescent="0.25">
      <c r="A2" s="36">
        <v>0</v>
      </c>
      <c r="B2" s="36" t="s">
        <v>284</v>
      </c>
      <c r="C2" s="36"/>
      <c r="D2" s="36" t="s">
        <v>230</v>
      </c>
      <c r="E2" s="36" t="s">
        <v>231</v>
      </c>
      <c r="F2" s="3" t="s">
        <v>285</v>
      </c>
    </row>
    <row r="3" spans="1:6" x14ac:dyDescent="0.25">
      <c r="A3" s="36">
        <v>1</v>
      </c>
      <c r="B3" s="36" t="s">
        <v>286</v>
      </c>
      <c r="C3" s="36"/>
      <c r="D3" s="36" t="s">
        <v>287</v>
      </c>
      <c r="E3" s="36" t="s">
        <v>288</v>
      </c>
      <c r="F3" s="3" t="s">
        <v>289</v>
      </c>
    </row>
    <row r="4" spans="1:6" x14ac:dyDescent="0.25">
      <c r="A4" s="36">
        <v>2</v>
      </c>
      <c r="B4" s="36" t="s">
        <v>290</v>
      </c>
      <c r="C4" s="36"/>
      <c r="D4" s="36" t="s">
        <v>239</v>
      </c>
      <c r="E4" s="36" t="s">
        <v>240</v>
      </c>
      <c r="F4" s="3" t="s">
        <v>291</v>
      </c>
    </row>
    <row r="5" spans="1:6" x14ac:dyDescent="0.25">
      <c r="A5" s="36">
        <v>3</v>
      </c>
      <c r="B5" s="36" t="s">
        <v>292</v>
      </c>
      <c r="C5" s="36"/>
      <c r="D5" s="36" t="s">
        <v>242</v>
      </c>
      <c r="E5" s="36" t="s">
        <v>243</v>
      </c>
      <c r="F5" s="3" t="s">
        <v>293</v>
      </c>
    </row>
    <row r="6" spans="1:6" x14ac:dyDescent="0.25">
      <c r="A6" s="36">
        <v>4</v>
      </c>
      <c r="B6" s="36" t="s">
        <v>294</v>
      </c>
      <c r="C6" s="36"/>
      <c r="D6" s="36" t="s">
        <v>245</v>
      </c>
      <c r="E6" s="36" t="s">
        <v>246</v>
      </c>
      <c r="F6" s="3" t="s">
        <v>295</v>
      </c>
    </row>
    <row r="7" spans="1:6" x14ac:dyDescent="0.25">
      <c r="A7" s="36">
        <v>5</v>
      </c>
      <c r="B7" s="36" t="s">
        <v>296</v>
      </c>
      <c r="C7" s="36"/>
      <c r="D7" s="36" t="s">
        <v>248</v>
      </c>
      <c r="E7" s="36" t="s">
        <v>249</v>
      </c>
      <c r="F7" s="3" t="s">
        <v>297</v>
      </c>
    </row>
    <row r="8" spans="1:6" x14ac:dyDescent="0.25">
      <c r="A8" s="36">
        <v>6</v>
      </c>
      <c r="B8" s="36" t="s">
        <v>298</v>
      </c>
      <c r="C8" s="36"/>
      <c r="D8" s="36" t="s">
        <v>248</v>
      </c>
      <c r="E8" s="36" t="s">
        <v>249</v>
      </c>
      <c r="F8" s="3" t="s">
        <v>299</v>
      </c>
    </row>
    <row r="9" spans="1:6" x14ac:dyDescent="0.25">
      <c r="A9" s="36">
        <v>7</v>
      </c>
      <c r="B9" s="36" t="s">
        <v>300</v>
      </c>
      <c r="C9" s="36"/>
      <c r="D9" s="36" t="s">
        <v>248</v>
      </c>
      <c r="E9" s="36" t="s">
        <v>301</v>
      </c>
      <c r="F9" s="3" t="s">
        <v>302</v>
      </c>
    </row>
    <row r="10" spans="1:6" x14ac:dyDescent="0.25">
      <c r="A10" s="36">
        <v>8</v>
      </c>
      <c r="B10" s="36" t="s">
        <v>303</v>
      </c>
      <c r="C10" s="36"/>
      <c r="D10" s="36" t="s">
        <v>304</v>
      </c>
      <c r="E10" s="36" t="s">
        <v>305</v>
      </c>
      <c r="F10" s="3" t="s">
        <v>306</v>
      </c>
    </row>
    <row r="11" spans="1:6" x14ac:dyDescent="0.25">
      <c r="A11" s="36">
        <v>9</v>
      </c>
      <c r="B11" s="36" t="s">
        <v>307</v>
      </c>
      <c r="C11" s="36"/>
      <c r="D11" s="36" t="s">
        <v>251</v>
      </c>
      <c r="E11" s="36" t="s">
        <v>252</v>
      </c>
      <c r="F11" s="3" t="s">
        <v>308</v>
      </c>
    </row>
    <row r="12" spans="1:6" x14ac:dyDescent="0.25">
      <c r="A12" s="36">
        <v>10</v>
      </c>
      <c r="B12" s="36" t="s">
        <v>309</v>
      </c>
      <c r="C12" s="36"/>
      <c r="D12" s="36" t="s">
        <v>254</v>
      </c>
      <c r="E12" s="36" t="s">
        <v>255</v>
      </c>
      <c r="F12" s="3" t="s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60" customWidth="1"/>
  </cols>
  <sheetData>
    <row r="1" spans="1:3" x14ac:dyDescent="0.25">
      <c r="A1" s="42" t="s">
        <v>311</v>
      </c>
      <c r="B1" s="42" t="s">
        <v>312</v>
      </c>
      <c r="C1" s="42" t="s">
        <v>313</v>
      </c>
    </row>
    <row r="2" spans="1:3" x14ac:dyDescent="0.25">
      <c r="A2" s="60" t="s">
        <v>230</v>
      </c>
      <c r="B2" s="60" t="s">
        <v>231</v>
      </c>
      <c r="C2" s="61" t="s">
        <v>314</v>
      </c>
    </row>
    <row r="3" spans="1:3" x14ac:dyDescent="0.25">
      <c r="A3" s="62" t="s">
        <v>233</v>
      </c>
      <c r="B3" s="62" t="s">
        <v>234</v>
      </c>
      <c r="C3" s="63" t="s">
        <v>235</v>
      </c>
    </row>
    <row r="4" spans="1:3" x14ac:dyDescent="0.25">
      <c r="A4" s="45" t="s">
        <v>236</v>
      </c>
      <c r="B4" s="45" t="s">
        <v>315</v>
      </c>
      <c r="C4" s="44" t="s">
        <v>238</v>
      </c>
    </row>
    <row r="5" spans="1:3" x14ac:dyDescent="0.25">
      <c r="A5" s="64" t="s">
        <v>239</v>
      </c>
      <c r="B5" s="64" t="s">
        <v>240</v>
      </c>
      <c r="C5" s="65" t="s">
        <v>241</v>
      </c>
    </row>
    <row r="6" spans="1:3" x14ac:dyDescent="0.25">
      <c r="A6" s="49" t="s">
        <v>242</v>
      </c>
      <c r="B6" s="49" t="s">
        <v>243</v>
      </c>
      <c r="C6" s="48" t="s">
        <v>244</v>
      </c>
    </row>
    <row r="7" spans="1:3" x14ac:dyDescent="0.25">
      <c r="A7" s="66" t="s">
        <v>245</v>
      </c>
      <c r="B7" s="66" t="s">
        <v>316</v>
      </c>
      <c r="C7" s="67" t="s">
        <v>247</v>
      </c>
    </row>
    <row r="8" spans="1:3" x14ac:dyDescent="0.25">
      <c r="A8" s="53" t="s">
        <v>248</v>
      </c>
      <c r="B8" s="53" t="s">
        <v>317</v>
      </c>
      <c r="C8" s="52" t="s">
        <v>250</v>
      </c>
    </row>
    <row r="9" spans="1:3" x14ac:dyDescent="0.25">
      <c r="A9" s="68" t="s">
        <v>251</v>
      </c>
      <c r="B9" s="68" t="s">
        <v>252</v>
      </c>
      <c r="C9" s="69" t="s">
        <v>253</v>
      </c>
    </row>
    <row r="10" spans="1:3" x14ac:dyDescent="0.25">
      <c r="A10" s="70" t="s">
        <v>254</v>
      </c>
      <c r="B10" s="70" t="s">
        <v>255</v>
      </c>
      <c r="C10" s="71" t="s">
        <v>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/>
  </sheetViews>
  <sheetFormatPr defaultRowHeight="15" x14ac:dyDescent="0.25"/>
  <cols>
    <col min="1" max="1" width="26" customWidth="1"/>
    <col min="2" max="2" width="90" customWidth="1"/>
  </cols>
  <sheetData>
    <row r="1" spans="1:2" x14ac:dyDescent="0.25">
      <c r="A1" s="72" t="s">
        <v>318</v>
      </c>
      <c r="B1" s="72" t="s">
        <v>319</v>
      </c>
    </row>
    <row r="2" spans="1:2" x14ac:dyDescent="0.25">
      <c r="A2" s="3"/>
      <c r="B2" s="3" t="s">
        <v>320</v>
      </c>
    </row>
    <row r="3" spans="1:2" x14ac:dyDescent="0.25">
      <c r="A3" s="61" t="s">
        <v>284</v>
      </c>
      <c r="B3" s="3" t="s">
        <v>321</v>
      </c>
    </row>
    <row r="4" spans="1:2" x14ac:dyDescent="0.25">
      <c r="A4" s="63" t="s">
        <v>286</v>
      </c>
      <c r="B4" s="3" t="s">
        <v>322</v>
      </c>
    </row>
    <row r="5" spans="1:2" x14ac:dyDescent="0.25">
      <c r="A5" s="65" t="s">
        <v>275</v>
      </c>
      <c r="B5" s="3" t="s">
        <v>323</v>
      </c>
    </row>
    <row r="6" spans="1:2" x14ac:dyDescent="0.25">
      <c r="A6" s="73" t="s">
        <v>324</v>
      </c>
      <c r="B6" s="3" t="s">
        <v>325</v>
      </c>
    </row>
    <row r="7" spans="1:2" x14ac:dyDescent="0.25">
      <c r="A7" s="52" t="s">
        <v>326</v>
      </c>
      <c r="B7" s="3" t="s">
        <v>327</v>
      </c>
    </row>
    <row r="8" spans="1:2" x14ac:dyDescent="0.25">
      <c r="A8" s="3"/>
      <c r="B8" s="3"/>
    </row>
    <row r="9" spans="1:2" x14ac:dyDescent="0.25">
      <c r="A9" s="72" t="s">
        <v>273</v>
      </c>
      <c r="B9" s="3" t="s">
        <v>328</v>
      </c>
    </row>
    <row r="10" spans="1:2" x14ac:dyDescent="0.25">
      <c r="A10" s="44" t="s">
        <v>274</v>
      </c>
      <c r="B10" s="3" t="s">
        <v>329</v>
      </c>
    </row>
    <row r="11" spans="1:2" x14ac:dyDescent="0.25">
      <c r="A11" s="46" t="s">
        <v>275</v>
      </c>
      <c r="B11" s="3" t="s">
        <v>330</v>
      </c>
    </row>
    <row r="12" spans="1:2" x14ac:dyDescent="0.25">
      <c r="A12" s="48" t="s">
        <v>276</v>
      </c>
      <c r="B12" s="3" t="s">
        <v>331</v>
      </c>
    </row>
    <row r="13" spans="1:2" x14ac:dyDescent="0.25">
      <c r="A13" s="50" t="s">
        <v>277</v>
      </c>
      <c r="B13" s="3" t="s">
        <v>332</v>
      </c>
    </row>
    <row r="14" spans="1:2" x14ac:dyDescent="0.25">
      <c r="A14" s="52" t="s">
        <v>278</v>
      </c>
      <c r="B14" s="3" t="s">
        <v>333</v>
      </c>
    </row>
    <row r="15" spans="1:2" x14ac:dyDescent="0.25">
      <c r="A15" s="54" t="s">
        <v>61</v>
      </c>
      <c r="B15" s="3" t="s">
        <v>61</v>
      </c>
    </row>
    <row r="16" spans="1:2" x14ac:dyDescent="0.25">
      <c r="A16" s="56" t="s">
        <v>279</v>
      </c>
      <c r="B16" s="3" t="s">
        <v>62</v>
      </c>
    </row>
    <row r="17" spans="1:2" x14ac:dyDescent="0.25">
      <c r="A17" s="58" t="s">
        <v>182</v>
      </c>
      <c r="B17" s="3" t="s">
        <v>63</v>
      </c>
    </row>
    <row r="18" spans="1:2" x14ac:dyDescent="0.25">
      <c r="A18" s="3"/>
      <c r="B18" s="3"/>
    </row>
    <row r="19" spans="1:2" x14ac:dyDescent="0.25">
      <c r="A19" s="72" t="s">
        <v>334</v>
      </c>
      <c r="B19" s="3"/>
    </row>
    <row r="20" spans="1:2" x14ac:dyDescent="0.25">
      <c r="A20" s="3" t="s">
        <v>81</v>
      </c>
      <c r="B20" s="3" t="s">
        <v>335</v>
      </c>
    </row>
    <row r="21" spans="1:2" x14ac:dyDescent="0.25">
      <c r="A21" s="3" t="s">
        <v>70</v>
      </c>
      <c r="B21" s="3" t="s">
        <v>336</v>
      </c>
    </row>
    <row r="22" spans="1:2" x14ac:dyDescent="0.25">
      <c r="A22" s="3" t="s">
        <v>66</v>
      </c>
      <c r="B22" s="3" t="s">
        <v>337</v>
      </c>
    </row>
    <row r="23" spans="1:2" x14ac:dyDescent="0.25">
      <c r="A23" s="3"/>
      <c r="B23" s="3"/>
    </row>
    <row r="24" spans="1:2" x14ac:dyDescent="0.25">
      <c r="A24" s="72" t="s">
        <v>338</v>
      </c>
      <c r="B24" s="3"/>
    </row>
    <row r="25" spans="1:2" x14ac:dyDescent="0.25">
      <c r="A25" s="3" t="s">
        <v>339</v>
      </c>
      <c r="B25" s="3" t="s">
        <v>340</v>
      </c>
    </row>
    <row r="26" spans="1:2" x14ac:dyDescent="0.25">
      <c r="A26" s="3" t="s">
        <v>341</v>
      </c>
      <c r="B26" s="3" t="s">
        <v>342</v>
      </c>
    </row>
    <row r="27" spans="1:2" x14ac:dyDescent="0.25">
      <c r="A27" s="3" t="s">
        <v>343</v>
      </c>
      <c r="B27" s="3" t="s">
        <v>344</v>
      </c>
    </row>
    <row r="28" spans="1:2" x14ac:dyDescent="0.25">
      <c r="A28" s="3" t="s">
        <v>345</v>
      </c>
      <c r="B28" s="3" t="s">
        <v>346</v>
      </c>
    </row>
    <row r="29" spans="1:2" ht="25.5" x14ac:dyDescent="0.25">
      <c r="A29" s="3" t="s">
        <v>347</v>
      </c>
      <c r="B29" s="3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</vt:lpstr>
      <vt:lpstr>Sheet1</vt:lpstr>
      <vt:lpstr>Summary</vt:lpstr>
      <vt:lpstr>Epics &amp; Features</vt:lpstr>
      <vt:lpstr>Roles</vt:lpstr>
      <vt:lpstr>Gates</vt:lpstr>
      <vt:lpstr>Tiers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P</cp:lastModifiedBy>
  <dcterms:created xsi:type="dcterms:W3CDTF">2026-04-29T11:50:30Z</dcterms:created>
  <dcterms:modified xsi:type="dcterms:W3CDTF">2026-05-12T13:20:13Z</dcterms:modified>
</cp:coreProperties>
</file>